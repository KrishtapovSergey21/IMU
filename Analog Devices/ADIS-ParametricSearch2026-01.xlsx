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Temp\IMU\Analog Devices\"/>
    </mc:Choice>
  </mc:AlternateContent>
  <xr:revisionPtr revIDLastSave="0" documentId="13_ncr:1_{3618C279-815A-454E-A428-9B21872050D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ver" sheetId="1" r:id="rId1"/>
    <sheet name="Web Display" sheetId="2" r:id="rId2"/>
    <sheet name="Raw Data Display" sheetId="3" r:id="rId3"/>
  </sheets>
  <definedNames>
    <definedName name="_xlnm._FilterDatabase" localSheetId="2" hidden="1">'Raw Data Display'!$A$1:$O$52</definedName>
  </definedNames>
  <calcPr calcId="191029"/>
</workbook>
</file>

<file path=xl/calcChain.xml><?xml version="1.0" encoding="utf-8"?>
<calcChain xmlns="http://schemas.openxmlformats.org/spreadsheetml/2006/main">
  <c r="A26" i="3" l="1"/>
  <c r="A25" i="3"/>
  <c r="A24" i="3"/>
  <c r="A30" i="3"/>
  <c r="A51" i="3"/>
  <c r="A50" i="3"/>
  <c r="A49" i="3"/>
  <c r="A39" i="3"/>
  <c r="A48" i="3"/>
  <c r="A31" i="3"/>
  <c r="A40" i="3"/>
  <c r="A47" i="3"/>
  <c r="A38" i="3"/>
  <c r="A46" i="3"/>
  <c r="A3" i="3"/>
  <c r="A37" i="3"/>
  <c r="A36" i="3"/>
  <c r="A35" i="3"/>
  <c r="A34" i="3"/>
  <c r="A33" i="3"/>
  <c r="A32" i="3"/>
  <c r="A21" i="3"/>
  <c r="A20" i="3"/>
  <c r="A19" i="3"/>
  <c r="A18" i="3"/>
  <c r="A17" i="3"/>
  <c r="A16" i="3"/>
  <c r="A29" i="3"/>
  <c r="A28" i="3"/>
  <c r="A27" i="3"/>
  <c r="A6" i="3"/>
  <c r="A5" i="3"/>
  <c r="A4" i="3"/>
  <c r="A12" i="3"/>
  <c r="A11" i="3"/>
  <c r="A10" i="3"/>
  <c r="A2" i="3"/>
  <c r="A45" i="3"/>
  <c r="A22" i="3"/>
  <c r="A43" i="3"/>
  <c r="A42" i="3"/>
  <c r="A41" i="3"/>
  <c r="A23" i="3"/>
  <c r="A15" i="3"/>
  <c r="A14" i="3"/>
  <c r="A13" i="3"/>
  <c r="A44" i="3"/>
  <c r="A9" i="3"/>
  <c r="A8" i="3"/>
  <c r="A7" i="3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</calcChain>
</file>

<file path=xl/sharedStrings.xml><?xml version="1.0" encoding="utf-8"?>
<sst xmlns="http://schemas.openxmlformats.org/spreadsheetml/2006/main" count="1126" uniqueCount="163">
  <si>
    <t>Date Created</t>
  </si>
  <si>
    <t>1/26/2026, 4:34:33 PM</t>
  </si>
  <si>
    <t>Product Type</t>
  </si>
  <si>
    <t>Inertial Measurement Units (IMU)</t>
  </si>
  <si>
    <t>Web Link</t>
  </si>
  <si>
    <t>https://www.analog.com/en/parametricsearch/2477#/</t>
  </si>
  <si>
    <t>Filter Conditions</t>
  </si>
  <si>
    <t>(None)</t>
  </si>
  <si>
    <t>Part Number</t>
  </si>
  <si>
    <t>Description</t>
  </si>
  <si>
    <t>Inertial Sensor Type</t>
  </si>
  <si>
    <t>Output Signal Type</t>
  </si>
  <si>
    <t>Number of Axes</t>
  </si>
  <si>
    <t>Positive Supply Voltage min</t>
  </si>
  <si>
    <t>Positive Supply Voltage max</t>
  </si>
  <si>
    <t>Features</t>
  </si>
  <si>
    <t>Temperature Range</t>
  </si>
  <si>
    <t>1ku List Price</t>
  </si>
  <si>
    <t>Package</t>
  </si>
  <si>
    <t>Package Area</t>
  </si>
  <si>
    <t>Package Height</t>
  </si>
  <si>
    <t>Availability</t>
  </si>
  <si>
    <t>Lifecycle</t>
  </si>
  <si>
    <t/>
  </si>
  <si>
    <t>V</t>
  </si>
  <si>
    <t>$ US; ¥ RMB</t>
  </si>
  <si>
    <t>mm²</t>
  </si>
  <si>
    <t>mm</t>
  </si>
  <si>
    <t>Accelerometer, Gyroscope</t>
  </si>
  <si>
    <t>3 V</t>
  </si>
  <si>
    <t>3.6 V</t>
  </si>
  <si>
    <t>Autocalibration, Cold Start, Synchronization, Temperature Stability</t>
  </si>
  <si>
    <t>-40 to 105°C</t>
  </si>
  <si>
    <t>$597.94 (ADIS16505-1BMLZ)</t>
  </si>
  <si>
    <t>100-Ball Ball Grid Array Module (15mm x 15mm x 5.72mm)</t>
  </si>
  <si>
    <t>225mm² (100-Ball Ball Grid Array Module (15mm x 15mm x 5.72mm)) (ADIS16505-1BMLZ)</t>
  </si>
  <si>
    <t>5.72mm (100-Ball Ball Grid Array Module (15mm x 15mm x 5.72mm)) (ADIS16505-1BMLZ)</t>
  </si>
  <si>
    <t>Recommended for New Designs</t>
  </si>
  <si>
    <t>Autonomous Grade, Six Degrees of Freedom Inertial Sensor</t>
  </si>
  <si>
    <t>24-lead Module with Connector Interface (44 mm x 47 mm x 15.4 mm)</t>
  </si>
  <si>
    <t>2068mm² (24-lead Module with Connector Interface (44 mm x 47 mm x 15.4 mm)) (ADIS17555WBMLZ)</t>
  </si>
  <si>
    <t>15.4mm (24-lead Module with Connector Interface (44 mm x 47 mm x 15.4 mm)) (ADIS17555WBMLZ)</t>
  </si>
  <si>
    <t>Precision MEMS IMU Module</t>
  </si>
  <si>
    <t>Digital Signal</t>
  </si>
  <si>
    <t>$610.75 (ADIS16575-2BMLZ)</t>
  </si>
  <si>
    <t>14-Lead Module with Connector Interface</t>
  </si>
  <si>
    <t>$610.75 (ADIS16576-2BMLZ)</t>
  </si>
  <si>
    <t>MEMS</t>
  </si>
  <si>
    <t>$610.75 (ADIS16577-2BMLZ)</t>
  </si>
  <si>
    <t>Precision, MEMS IMU</t>
  </si>
  <si>
    <t>$687.63 (ADIS16501-2BMLZ)</t>
  </si>
  <si>
    <t>225mm² (100-Ball Ball Grid Array Module (15mm x 15mm x 5.72mm)) (ADIS16501-2BMLZ)</t>
  </si>
  <si>
    <t>5.72mm (100-Ball Ball Grid Array Module (15mm x 15mm x 5.72mm)) (ADIS16501-2BMLZ)</t>
  </si>
  <si>
    <t>Tactical Grade, Six Degrees of Freedom Inertial Sensors</t>
  </si>
  <si>
    <t>$3042.07 (ADIS16545-1BMLZ)</t>
  </si>
  <si>
    <t>24-Lead Module with Connector Interface</t>
  </si>
  <si>
    <t>2068mm² (24-Lead Module with Connector Interface) (ADIS16545-1BMLZ)</t>
  </si>
  <si>
    <t>14mm (24-Lead Module with Connector Interface) (ADIS16545-1BMLZ)</t>
  </si>
  <si>
    <t>$3042.07 (ADIS16547-1BMLZ)</t>
  </si>
  <si>
    <t>2068mm² (24-Lead Module with Connector Interface) (ADIS16547-1BMLZ)</t>
  </si>
  <si>
    <t>14mm (24-Lead Module with Connector Interface) (ADIS16547-1BMLZ)</t>
  </si>
  <si>
    <t>4.75 V</t>
  </si>
  <si>
    <t>5.25 V</t>
  </si>
  <si>
    <t>$3500 (ADIS16550BMLZ)</t>
  </si>
  <si>
    <t>532.7648mm² (24-Lead Module with Connector Interface) (ADIS16550BMLZ)</t>
  </si>
  <si>
    <t>23.504mm (24-Lead Module with Connector Interface) (ADIS16550BMLZ)</t>
  </si>
  <si>
    <t>Compact, Precision Six Degrees of Freedom Inertial Sensor</t>
  </si>
  <si>
    <t>3.15 V</t>
  </si>
  <si>
    <t>3.45 V</t>
  </si>
  <si>
    <t>Synchronization</t>
  </si>
  <si>
    <t>$683.84 (ADIS16446BMLZ)</t>
  </si>
  <si>
    <t>20-Lead Module with Connector Interface (24.15mm x 37.7mm x 10.8mm )</t>
  </si>
  <si>
    <t>910.455mm² (20-Lead Module with Connector Interface (24.15mm x 37.7mm x 10.8mm )) (ADIS16446BMLZ)</t>
  </si>
  <si>
    <t>10.8mm (20-Lead Module with Connector Interface (24.15mm x 37.7mm x 10.8mm )) (ADIS16446BMLZ)</t>
  </si>
  <si>
    <t>Six Degrees of Freedom Inertial Sensor</t>
  </si>
  <si>
    <t>Temperature Stability</t>
  </si>
  <si>
    <t>4-Lead Module with Connector Interface (44mm x 42.6mm x 14mm w/EP)</t>
  </si>
  <si>
    <t>Precision, Miniature MEMS IMU</t>
  </si>
  <si>
    <t>-25 to 85°C</t>
  </si>
  <si>
    <t>$265.76 (ADIS16500AMLZ)</t>
  </si>
  <si>
    <t>225mm² (100-Ball Ball Grid Array Module (15mm x 15mm x 5.72mm)) (ADIS16500AMLZ)</t>
  </si>
  <si>
    <t>5.72mm (100-Ball Ball Grid Array Module (15mm x 15mm x 5.72mm)) (ADIS16500AMLZ)</t>
  </si>
  <si>
    <t>$597.94 (ADIS16507-1BMLZ)</t>
  </si>
  <si>
    <t>225mm² (100-Ball Ball Grid Array Module (15mm x 15mm x 5.72mm)) (ADIS16507-1BMLZ)</t>
  </si>
  <si>
    <t>5.72mm (100-Ball Ball Grid Array Module (15mm x 15mm x 5.72mm)) (ADIS16507-1BMLZ)</t>
  </si>
  <si>
    <t>Embedded Connector</t>
  </si>
  <si>
    <t>$453.15 (ADIS16465-1BMLZ)</t>
  </si>
  <si>
    <t>$807.42 (ADIS16467-1BMLZ)</t>
  </si>
  <si>
    <t>Precision, Miniature MEMs IMU (2000dps, 8g)</t>
  </si>
  <si>
    <t>$675.32 (ADIS16475-1BMLZ)</t>
  </si>
  <si>
    <t>44-Ball BGA Module</t>
  </si>
  <si>
    <t>Precision, Miniature MEMs IMU</t>
  </si>
  <si>
    <t>$675.32 (ADIS16477-1BMLZ)</t>
  </si>
  <si>
    <t>Tactical Grade, Six Degrees of Freedom Inertial Sensor</t>
  </si>
  <si>
    <t>$2521.17 (ADIS16495-1BMLZ)</t>
  </si>
  <si>
    <t>2068mm² (24-Lead Module with Connector Interface) (ADIS16495-1BMLZ)</t>
  </si>
  <si>
    <t>14mm (24-Lead Module with Connector Interface) (ADIS16495-1BMLZ)</t>
  </si>
  <si>
    <t>$2753 (ADIS16497-1BMLZ)</t>
  </si>
  <si>
    <t>2068mm² (24-Lead Module with Connector Interface) (ADIS16497-1BMLZ)</t>
  </si>
  <si>
    <t>14mm (24-Lead Module with Connector Interface) (ADIS16497-1BMLZ)</t>
  </si>
  <si>
    <t>Wide Dynamic Range, Miniature MEMs IMU</t>
  </si>
  <si>
    <t>$300.14 (ADIS16470AMLZ)</t>
  </si>
  <si>
    <t>Combined Gyroscope and Tri-Axis Accelerometer</t>
  </si>
  <si>
    <t>3.3 V</t>
  </si>
  <si>
    <t>5 V</t>
  </si>
  <si>
    <t>16-Lead SOIC_CAV (10.30mm x 10.42mm x 3.58mm)</t>
  </si>
  <si>
    <t>107.326mm² (16-Lead SOIC_CAV (10.30mm x 10.42mm x 3.58mm)) (ADXC1501AWBRGZ-RL)</t>
  </si>
  <si>
    <t>3.58mm (16-Lead SOIC_CAV (10.30mm x 10.42mm x 3.58mm)) (ADXC1501AWBRGZ-RL)</t>
  </si>
  <si>
    <t>Production</t>
  </si>
  <si>
    <t>Seven Degrees of Freedom Inertial Sensor</t>
  </si>
  <si>
    <t>Accelerometer, Gyroscope, -</t>
  </si>
  <si>
    <t>Pressure Sensor</t>
  </si>
  <si>
    <t>$2882.47 (ADIS16489BMLZ-P)</t>
  </si>
  <si>
    <t>Combined Gyroscope and Dual-Axis Accelerometer</t>
  </si>
  <si>
    <t>107.326mm² (16-Lead SOIC_CAV (10.30mm x 10.42mm x 3.58mm)) (ADXC1500AWBRGZ-RL)</t>
  </si>
  <si>
    <t>3.58mm (16-Lead SOIC_CAV (10.30mm x 10.42mm x 3.58mm)) (ADXC1500AWBRGZ-RL)</t>
  </si>
  <si>
    <t>$2980.16 (ADIS16490BMLZ)</t>
  </si>
  <si>
    <t>2068mm² (24-Lead Module with Connector Interface) (ADIS16490BMLZ)</t>
  </si>
  <si>
    <t>14mm (24-Lead Module with Connector Interface) (ADIS16490BMLZ)</t>
  </si>
  <si>
    <t>Not Recommended for New Designs</t>
  </si>
  <si>
    <t>Tactical Grade, Ten Degrees of Freedom Inertial Sensor</t>
  </si>
  <si>
    <t>Accelerometer, Gyroscope, Magnetometer, -</t>
  </si>
  <si>
    <t>$2156.26 (ADIS16488BMLZ)</t>
  </si>
  <si>
    <t>910.455mm² (20-Lead Module with Connector Interface (24.15mm x 37.7mm x 10.8mm )) (ADIS16445BMLZ)</t>
  </si>
  <si>
    <t>10.8mm (20-Lead Module with Connector Interface (24.15mm x 37.7mm x 10.8mm )) (ADIS16445BMLZ)</t>
  </si>
  <si>
    <t>Ten Degrees of Freedom MEMS Inertial Sensor with Dynamic Orientation Outputs</t>
  </si>
  <si>
    <t>Embedded Connector, Pressure Sensor</t>
  </si>
  <si>
    <t>$2891.89 (ADIS16480BMLZ)</t>
  </si>
  <si>
    <t>Tactical Grade Six Degrees of Freedom MEMS Inertial Sensor</t>
  </si>
  <si>
    <t>Compact, Precision Ten Degree of Freedom Inertial Sensor</t>
  </si>
  <si>
    <t>Accelerometer, Gyroscope, Magnetometer</t>
  </si>
  <si>
    <t>Last Time Buy</t>
  </si>
  <si>
    <t>Low Profile, Six Degrees of Freedom Inertial Sensor</t>
  </si>
  <si>
    <t>Low Profile, Low Noise Six Degrees of Freedom Inertial Sensor</t>
  </si>
  <si>
    <t>$1389.61 (ADIS16375BMLZ)</t>
  </si>
  <si>
    <t>$699.52 (ADIS16362BMLZ)</t>
  </si>
  <si>
    <t>532.7648mm² (24-Lead Module with Connector Interface) (ADIS16362BMLZ)</t>
  </si>
  <si>
    <t>23.504mm (24-Lead Module with Connector Interface) (ADIS16362BMLZ)</t>
  </si>
  <si>
    <t>$699.52 (ADIS16364BMLZ)</t>
  </si>
  <si>
    <t>532.7648mm² (24-Lead Module with Connector Interface) (ADIS16364BMLZ)</t>
  </si>
  <si>
    <t>23.504mm (24-Lead Module with Connector Interface) (ADIS16364BMLZ)</t>
  </si>
  <si>
    <t>$780.73 (ADIS16365BMLZ)</t>
  </si>
  <si>
    <t>532.7648mm² (24-Lead Module with Connector Interface) (ADIS16365BMLZ)</t>
  </si>
  <si>
    <t>23.504mm (24-Lead Module with Connector Interface) (ADIS16365BMLZ)</t>
  </si>
  <si>
    <t>Accelerometer Gyroscope</t>
  </si>
  <si>
    <t>Autocalibration Cold Start Synchronization Temperature Stability</t>
  </si>
  <si>
    <t>Autonomous Grade Six Degrees of Freedom Inertial Sensor</t>
  </si>
  <si>
    <t>Precision MEMS IMU</t>
  </si>
  <si>
    <t>Tactical Grade Six Degrees of Freedom Inertial Sensors</t>
  </si>
  <si>
    <t>Compact Precision Six Degrees of Freedom Inertial Sensor</t>
  </si>
  <si>
    <t>Precision Miniature MEMS IMU</t>
  </si>
  <si>
    <t>Precision Miniature MEMs IMU (2000dps 8g)</t>
  </si>
  <si>
    <t>Precision Miniature MEMs IMU</t>
  </si>
  <si>
    <t>Tactical Grade Six Degrees of Freedom Inertial Sensor</t>
  </si>
  <si>
    <t>Wide Dynamic Range Miniature MEMs IMU</t>
  </si>
  <si>
    <t>Accelerometer Gyroscope -</t>
  </si>
  <si>
    <t>Tactical Grade Ten Degrees of Freedom Inertial Sensor</t>
  </si>
  <si>
    <t>Accelerometer Gyroscope Magnetometer -</t>
  </si>
  <si>
    <t>Embedded Connector Pressure Sensor</t>
  </si>
  <si>
    <t>Compact Precision Ten Degree of Freedom Inertial Sensor</t>
  </si>
  <si>
    <t>Accelerometer Gyroscope Magnetometer</t>
  </si>
  <si>
    <t>Low Profile Six Degrees of Freedom Inertial Sensor</t>
  </si>
  <si>
    <t>Low Profile Low Noise Six Degrees of Freedom Inertial 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</si>
</sst>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C5D9F1"/>
        <bgColor rgb="FFC5D9F1"/>
      </patternFill>
    </fill>
    <fill>
      <patternFill patternType="solid">
        <fgColor rgb="FFC5D9F1"/>
        <bgColor rgb="FFC5D9F1"/>
      </patternFill>
    </fill>
    <fill>
      <patternFill patternType="solid">
        <fgColor rgb="FFC5D9F1"/>
        <bgColor rgb="FFC5D9F1"/>
      </patternFill>
    </fill>
    <fill>
      <patternFill patternType="solid">
        <fgColor rgb="FFC5D9F1"/>
        <bgColor rgb="FFC5D9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 applyAlignment="1">
      <alignment horizontal="center"/>
    </xf>
    <xf numFmtId="0" fontId="2" fillId="0" borderId="0" xfId="0" applyFont="1"/>
    <xf numFmtId="0" fontId="0" fillId="0" borderId="1" xfId="0" applyBorder="1"/>
    <xf numFmtId="0" fontId="0" fillId="6" borderId="1" xfId="0" applyFill="1" applyBorder="1" applyAlignment="1">
      <alignment horizontal="center"/>
    </xf>
    <xf numFmtId="0" fontId="3" fillId="0" borderId="1" xfId="0" applyFont="1" applyBorder="1"/>
    <xf numFmtId="0" fontId="0" fillId="5" borderId="1" xfId="0" applyFill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8" sqref="B8"/>
    </sheetView>
  </sheetViews>
  <sheetFormatPr defaultRowHeight="14.4"/>
  <cols>
    <col min="1" max="1" width="20" customWidth="1"/>
    <col min="2" max="2" width="47" bestFit="1" customWidth="1"/>
    <col min="3" max="3" width="20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2"/>
  <sheetViews>
    <sheetView workbookViewId="0"/>
  </sheetViews>
  <sheetFormatPr defaultRowHeight="14.4"/>
  <cols>
    <col min="1" max="2" width="15" customWidth="1"/>
    <col min="3" max="3" width="24" customWidth="1"/>
    <col min="4" max="4" width="22" customWidth="1"/>
    <col min="5" max="5" width="17" customWidth="1"/>
    <col min="6" max="7" width="32" customWidth="1"/>
    <col min="8" max="8" width="15" customWidth="1"/>
    <col min="9" max="9" width="20" customWidth="1"/>
    <col min="10" max="10" width="17" customWidth="1"/>
    <col min="11" max="12" width="15" customWidth="1"/>
    <col min="13" max="13" width="17" customWidth="1"/>
    <col min="14" max="15" width="15" customWidth="1"/>
  </cols>
  <sheetData>
    <row r="1" spans="1:1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  <c r="L1" s="2" t="s">
        <v>19</v>
      </c>
      <c r="M1" s="2" t="s">
        <v>20</v>
      </c>
      <c r="N1" s="2" t="s">
        <v>21</v>
      </c>
      <c r="O1" s="2" t="s">
        <v>22</v>
      </c>
    </row>
    <row r="2" spans="1:15">
      <c r="A2" s="3" t="s">
        <v>23</v>
      </c>
      <c r="B2" s="3" t="s">
        <v>23</v>
      </c>
      <c r="C2" s="3" t="s">
        <v>23</v>
      </c>
      <c r="D2" s="3" t="s">
        <v>23</v>
      </c>
      <c r="E2" s="3" t="s">
        <v>23</v>
      </c>
      <c r="F2" s="3" t="s">
        <v>24</v>
      </c>
      <c r="G2" s="3" t="s">
        <v>24</v>
      </c>
      <c r="H2" s="3" t="s">
        <v>23</v>
      </c>
      <c r="I2" s="3" t="s">
        <v>23</v>
      </c>
      <c r="J2" s="3" t="s">
        <v>25</v>
      </c>
      <c r="K2" s="3" t="s">
        <v>23</v>
      </c>
      <c r="L2" s="3" t="s">
        <v>26</v>
      </c>
      <c r="M2" s="3" t="s">
        <v>27</v>
      </c>
      <c r="N2" s="3" t="s">
        <v>23</v>
      </c>
      <c r="O2" s="3" t="s">
        <v>23</v>
      </c>
    </row>
    <row r="3" spans="1:15">
      <c r="A3" s="4" t="str">
        <f>HYPERLINK("https://www.analog.com/en/ADIS16505-1#details", "ADIS16505-1")</f>
        <v>ADIS16505-1</v>
      </c>
      <c r="B3" t="s">
        <v>23</v>
      </c>
      <c r="C3" t="s">
        <v>28</v>
      </c>
      <c r="D3" t="s">
        <v>23</v>
      </c>
      <c r="E3">
        <v>6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t="s">
        <v>23</v>
      </c>
      <c r="O3" t="s">
        <v>37</v>
      </c>
    </row>
    <row r="4" spans="1:15">
      <c r="A4" s="4" t="str">
        <f>HYPERLINK("https://www.analog.com/en/ADIS16505-2#details", "ADIS16505-2")</f>
        <v>ADIS16505-2</v>
      </c>
      <c r="B4" t="s">
        <v>23</v>
      </c>
      <c r="C4" t="s">
        <v>28</v>
      </c>
      <c r="D4" t="s">
        <v>23</v>
      </c>
      <c r="E4">
        <v>6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t="s">
        <v>35</v>
      </c>
      <c r="M4" t="s">
        <v>36</v>
      </c>
      <c r="N4" t="s">
        <v>23</v>
      </c>
      <c r="O4" t="s">
        <v>37</v>
      </c>
    </row>
    <row r="5" spans="1:15">
      <c r="A5" s="4" t="str">
        <f>HYPERLINK("https://www.analog.com/en/ADIS16505-3#details", "ADIS16505-3")</f>
        <v>ADIS16505-3</v>
      </c>
      <c r="B5" t="s">
        <v>23</v>
      </c>
      <c r="C5" t="s">
        <v>28</v>
      </c>
      <c r="D5" t="s">
        <v>23</v>
      </c>
      <c r="E5">
        <v>6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  <c r="N5" t="s">
        <v>23</v>
      </c>
      <c r="O5" t="s">
        <v>37</v>
      </c>
    </row>
    <row r="6" spans="1:15">
      <c r="A6" s="4" t="str">
        <f>HYPERLINK("https://www.analog.com/en/ADIS17555#details", "ADIS17555")</f>
        <v>ADIS17555</v>
      </c>
      <c r="B6" t="s">
        <v>38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32</v>
      </c>
      <c r="J6" t="s">
        <v>23</v>
      </c>
      <c r="K6" t="s">
        <v>39</v>
      </c>
      <c r="L6" t="s">
        <v>40</v>
      </c>
      <c r="M6" t="s">
        <v>41</v>
      </c>
      <c r="N6">
        <v>0</v>
      </c>
      <c r="O6" t="s">
        <v>37</v>
      </c>
    </row>
    <row r="7" spans="1:15">
      <c r="A7" s="4" t="str">
        <f>HYPERLINK("https://www.analog.com/en/ADIS16575#details", "ADIS16575")</f>
        <v>ADIS16575</v>
      </c>
      <c r="B7" t="s">
        <v>42</v>
      </c>
      <c r="C7" t="s">
        <v>28</v>
      </c>
      <c r="D7" t="s">
        <v>43</v>
      </c>
      <c r="E7">
        <v>6</v>
      </c>
      <c r="F7" t="s">
        <v>29</v>
      </c>
      <c r="G7" t="s">
        <v>30</v>
      </c>
      <c r="H7" t="s">
        <v>23</v>
      </c>
      <c r="I7" t="s">
        <v>32</v>
      </c>
      <c r="J7" t="s">
        <v>44</v>
      </c>
      <c r="K7" t="s">
        <v>45</v>
      </c>
      <c r="L7" t="s">
        <v>23</v>
      </c>
      <c r="M7" t="s">
        <v>23</v>
      </c>
      <c r="N7">
        <v>1</v>
      </c>
      <c r="O7" t="s">
        <v>37</v>
      </c>
    </row>
    <row r="8" spans="1:15">
      <c r="A8" s="4" t="str">
        <f>HYPERLINK("https://www.analog.com/en/ADIS16576#details", "ADIS16576")</f>
        <v>ADIS16576</v>
      </c>
      <c r="B8" t="s">
        <v>42</v>
      </c>
      <c r="C8" t="s">
        <v>28</v>
      </c>
      <c r="D8" t="s">
        <v>43</v>
      </c>
      <c r="E8">
        <v>6</v>
      </c>
      <c r="F8" t="s">
        <v>29</v>
      </c>
      <c r="G8" t="s">
        <v>30</v>
      </c>
      <c r="H8" t="s">
        <v>23</v>
      </c>
      <c r="I8" t="s">
        <v>32</v>
      </c>
      <c r="J8" t="s">
        <v>46</v>
      </c>
      <c r="K8" t="s">
        <v>45</v>
      </c>
      <c r="L8" t="s">
        <v>23</v>
      </c>
      <c r="M8" t="s">
        <v>23</v>
      </c>
      <c r="N8">
        <v>170</v>
      </c>
      <c r="O8" t="s">
        <v>37</v>
      </c>
    </row>
    <row r="9" spans="1:15">
      <c r="A9" s="4" t="str">
        <f>HYPERLINK("https://www.analog.com/en/ADIS16577#details", "ADIS16577")</f>
        <v>ADIS16577</v>
      </c>
      <c r="B9" t="s">
        <v>42</v>
      </c>
      <c r="C9" t="s">
        <v>28</v>
      </c>
      <c r="D9" t="s">
        <v>43</v>
      </c>
      <c r="E9">
        <v>6</v>
      </c>
      <c r="F9" t="s">
        <v>29</v>
      </c>
      <c r="G9" t="s">
        <v>30</v>
      </c>
      <c r="H9" t="s">
        <v>47</v>
      </c>
      <c r="I9" t="s">
        <v>32</v>
      </c>
      <c r="J9" t="s">
        <v>48</v>
      </c>
      <c r="K9" t="s">
        <v>45</v>
      </c>
      <c r="L9" t="s">
        <v>23</v>
      </c>
      <c r="M9" t="s">
        <v>23</v>
      </c>
      <c r="N9">
        <v>11</v>
      </c>
      <c r="O9" t="s">
        <v>37</v>
      </c>
    </row>
    <row r="10" spans="1:15">
      <c r="A10" s="4" t="str">
        <f>HYPERLINK("https://www.analog.com/en/ADIS16501#details", "ADIS16501")</f>
        <v>ADIS16501</v>
      </c>
      <c r="B10" t="s">
        <v>49</v>
      </c>
      <c r="C10" t="s">
        <v>28</v>
      </c>
      <c r="D10" t="s">
        <v>43</v>
      </c>
      <c r="E10">
        <v>6</v>
      </c>
      <c r="F10" t="s">
        <v>29</v>
      </c>
      <c r="G10" t="s">
        <v>30</v>
      </c>
      <c r="H10" t="s">
        <v>23</v>
      </c>
      <c r="I10" t="s">
        <v>32</v>
      </c>
      <c r="J10" t="s">
        <v>50</v>
      </c>
      <c r="K10" t="s">
        <v>34</v>
      </c>
      <c r="L10" t="s">
        <v>51</v>
      </c>
      <c r="M10" t="s">
        <v>52</v>
      </c>
      <c r="N10">
        <v>386</v>
      </c>
      <c r="O10" t="s">
        <v>37</v>
      </c>
    </row>
    <row r="11" spans="1:15">
      <c r="A11" s="4" t="str">
        <f>HYPERLINK("https://www.analog.com/en/ADIS16545#details", "ADIS16545")</f>
        <v>ADIS16545</v>
      </c>
      <c r="B11" t="s">
        <v>53</v>
      </c>
      <c r="C11" t="s">
        <v>28</v>
      </c>
      <c r="D11" t="s">
        <v>43</v>
      </c>
      <c r="E11">
        <v>6</v>
      </c>
      <c r="F11" t="s">
        <v>29</v>
      </c>
      <c r="G11" t="s">
        <v>30</v>
      </c>
      <c r="H11" t="s">
        <v>23</v>
      </c>
      <c r="I11" t="s">
        <v>32</v>
      </c>
      <c r="J11" t="s">
        <v>54</v>
      </c>
      <c r="K11" t="s">
        <v>55</v>
      </c>
      <c r="L11" t="s">
        <v>56</v>
      </c>
      <c r="M11" t="s">
        <v>57</v>
      </c>
      <c r="N11">
        <v>10</v>
      </c>
      <c r="O11" t="s">
        <v>37</v>
      </c>
    </row>
    <row r="12" spans="1:15">
      <c r="A12" s="4" t="str">
        <f>HYPERLINK("https://www.analog.com/en/ADIS16547#details", "ADIS16547")</f>
        <v>ADIS16547</v>
      </c>
      <c r="B12" t="s">
        <v>53</v>
      </c>
      <c r="C12" t="s">
        <v>28</v>
      </c>
      <c r="D12" t="s">
        <v>43</v>
      </c>
      <c r="E12">
        <v>6</v>
      </c>
      <c r="F12" t="s">
        <v>29</v>
      </c>
      <c r="G12" t="s">
        <v>30</v>
      </c>
      <c r="H12" t="s">
        <v>23</v>
      </c>
      <c r="I12" t="s">
        <v>32</v>
      </c>
      <c r="J12" t="s">
        <v>58</v>
      </c>
      <c r="K12" t="s">
        <v>55</v>
      </c>
      <c r="L12" t="s">
        <v>59</v>
      </c>
      <c r="M12" t="s">
        <v>60</v>
      </c>
      <c r="N12">
        <v>0</v>
      </c>
      <c r="O12" t="s">
        <v>37</v>
      </c>
    </row>
    <row r="13" spans="1:15">
      <c r="A13" s="4" t="str">
        <f>HYPERLINK("https://www.analog.com/en/ADIS16550#details", "ADIS16550")</f>
        <v>ADIS16550</v>
      </c>
      <c r="B13" t="s">
        <v>38</v>
      </c>
      <c r="C13" t="s">
        <v>28</v>
      </c>
      <c r="D13" t="s">
        <v>43</v>
      </c>
      <c r="E13">
        <v>6</v>
      </c>
      <c r="F13" t="s">
        <v>61</v>
      </c>
      <c r="G13" t="s">
        <v>62</v>
      </c>
      <c r="H13" t="s">
        <v>23</v>
      </c>
      <c r="I13" t="s">
        <v>32</v>
      </c>
      <c r="J13" t="s">
        <v>63</v>
      </c>
      <c r="K13" t="s">
        <v>55</v>
      </c>
      <c r="L13" t="s">
        <v>64</v>
      </c>
      <c r="M13" t="s">
        <v>65</v>
      </c>
      <c r="N13">
        <v>49</v>
      </c>
      <c r="O13" t="s">
        <v>37</v>
      </c>
    </row>
    <row r="14" spans="1:15">
      <c r="A14" s="4" t="str">
        <f>HYPERLINK("https://www.analog.com/en/ADIS16446#details", "ADIS16446")</f>
        <v>ADIS16446</v>
      </c>
      <c r="B14" t="s">
        <v>66</v>
      </c>
      <c r="C14" t="s">
        <v>28</v>
      </c>
      <c r="D14" t="s">
        <v>43</v>
      </c>
      <c r="E14">
        <v>6</v>
      </c>
      <c r="F14" t="s">
        <v>67</v>
      </c>
      <c r="G14" t="s">
        <v>68</v>
      </c>
      <c r="H14" t="s">
        <v>69</v>
      </c>
      <c r="I14" t="s">
        <v>32</v>
      </c>
      <c r="J14" t="s">
        <v>70</v>
      </c>
      <c r="K14" t="s">
        <v>71</v>
      </c>
      <c r="L14" t="s">
        <v>72</v>
      </c>
      <c r="M14" t="s">
        <v>73</v>
      </c>
      <c r="N14">
        <v>0</v>
      </c>
      <c r="O14" t="s">
        <v>37</v>
      </c>
    </row>
    <row r="15" spans="1:15">
      <c r="A15" s="4" t="str">
        <f>HYPERLINK("https://www.analog.com/en/ADIS16486#details", "ADIS16486")</f>
        <v>ADIS16486</v>
      </c>
      <c r="B15" t="s">
        <v>74</v>
      </c>
      <c r="C15" t="s">
        <v>28</v>
      </c>
      <c r="D15" t="s">
        <v>43</v>
      </c>
      <c r="E15">
        <v>6</v>
      </c>
      <c r="F15" t="s">
        <v>29</v>
      </c>
      <c r="G15" t="s">
        <v>30</v>
      </c>
      <c r="H15" t="s">
        <v>75</v>
      </c>
      <c r="I15" t="s">
        <v>32</v>
      </c>
      <c r="J15" t="s">
        <v>23</v>
      </c>
      <c r="K15" t="s">
        <v>76</v>
      </c>
      <c r="L15" t="s">
        <v>23</v>
      </c>
      <c r="M15" t="s">
        <v>23</v>
      </c>
      <c r="N15">
        <v>0</v>
      </c>
      <c r="O15" t="s">
        <v>37</v>
      </c>
    </row>
    <row r="16" spans="1:15">
      <c r="A16" s="4" t="str">
        <f>HYPERLINK("https://www.analog.com/en/ADIS16500#details", "ADIS16500")</f>
        <v>ADIS16500</v>
      </c>
      <c r="B16" t="s">
        <v>77</v>
      </c>
      <c r="C16" t="s">
        <v>28</v>
      </c>
      <c r="D16" t="s">
        <v>43</v>
      </c>
      <c r="E16">
        <v>6</v>
      </c>
      <c r="F16" t="s">
        <v>29</v>
      </c>
      <c r="G16" t="s">
        <v>30</v>
      </c>
      <c r="H16" t="s">
        <v>47</v>
      </c>
      <c r="I16" t="s">
        <v>78</v>
      </c>
      <c r="J16" t="s">
        <v>79</v>
      </c>
      <c r="K16" t="s">
        <v>34</v>
      </c>
      <c r="L16" t="s">
        <v>80</v>
      </c>
      <c r="M16" t="s">
        <v>81</v>
      </c>
      <c r="N16">
        <v>0</v>
      </c>
      <c r="O16" t="s">
        <v>37</v>
      </c>
    </row>
    <row r="17" spans="1:15">
      <c r="A17" s="4" t="str">
        <f>HYPERLINK("https://www.analog.com/en/ADIS16507-1#details", "ADIS16507-1")</f>
        <v>ADIS16507-1</v>
      </c>
      <c r="B17" t="s">
        <v>77</v>
      </c>
      <c r="C17" t="s">
        <v>28</v>
      </c>
      <c r="D17" t="s">
        <v>23</v>
      </c>
      <c r="E17">
        <v>6</v>
      </c>
      <c r="F17" t="s">
        <v>29</v>
      </c>
      <c r="G17" t="s">
        <v>30</v>
      </c>
      <c r="H17" t="s">
        <v>31</v>
      </c>
      <c r="I17" t="s">
        <v>32</v>
      </c>
      <c r="J17" t="s">
        <v>82</v>
      </c>
      <c r="K17" t="s">
        <v>34</v>
      </c>
      <c r="L17" t="s">
        <v>83</v>
      </c>
      <c r="M17" t="s">
        <v>84</v>
      </c>
      <c r="N17" t="s">
        <v>23</v>
      </c>
      <c r="O17" t="s">
        <v>37</v>
      </c>
    </row>
    <row r="18" spans="1:15">
      <c r="A18" s="4" t="str">
        <f>HYPERLINK("https://www.analog.com/en/ADIS16507-2#details", "ADIS16507-2")</f>
        <v>ADIS16507-2</v>
      </c>
      <c r="B18" t="s">
        <v>77</v>
      </c>
      <c r="C18" t="s">
        <v>28</v>
      </c>
      <c r="D18" t="s">
        <v>23</v>
      </c>
      <c r="E18">
        <v>6</v>
      </c>
      <c r="F18" t="s">
        <v>29</v>
      </c>
      <c r="G18" t="s">
        <v>30</v>
      </c>
      <c r="H18" t="s">
        <v>31</v>
      </c>
      <c r="I18" t="s">
        <v>32</v>
      </c>
      <c r="J18" t="s">
        <v>82</v>
      </c>
      <c r="K18" t="s">
        <v>34</v>
      </c>
      <c r="L18" t="s">
        <v>83</v>
      </c>
      <c r="M18" t="s">
        <v>84</v>
      </c>
      <c r="N18" t="s">
        <v>23</v>
      </c>
      <c r="O18" t="s">
        <v>37</v>
      </c>
    </row>
    <row r="19" spans="1:15">
      <c r="A19" s="4" t="str">
        <f>HYPERLINK("https://www.analog.com/en/ADIS16507-3#details", "ADIS16507-3")</f>
        <v>ADIS16507-3</v>
      </c>
      <c r="B19" t="s">
        <v>77</v>
      </c>
      <c r="C19" t="s">
        <v>28</v>
      </c>
      <c r="D19" t="s">
        <v>23</v>
      </c>
      <c r="E19">
        <v>6</v>
      </c>
      <c r="F19" t="s">
        <v>29</v>
      </c>
      <c r="G19" t="s">
        <v>30</v>
      </c>
      <c r="H19" t="s">
        <v>31</v>
      </c>
      <c r="I19" t="s">
        <v>32</v>
      </c>
      <c r="J19" t="s">
        <v>82</v>
      </c>
      <c r="K19" t="s">
        <v>34</v>
      </c>
      <c r="L19" t="s">
        <v>83</v>
      </c>
      <c r="M19" t="s">
        <v>84</v>
      </c>
      <c r="N19" t="s">
        <v>23</v>
      </c>
      <c r="O19" t="s">
        <v>37</v>
      </c>
    </row>
    <row r="20" spans="1:15">
      <c r="A20" s="4" t="str">
        <f>HYPERLINK("https://www.analog.com/en/ADIS16465-1#details", "ADIS16465-1")</f>
        <v>ADIS16465-1</v>
      </c>
      <c r="B20" t="s">
        <v>42</v>
      </c>
      <c r="C20" t="s">
        <v>28</v>
      </c>
      <c r="D20" t="s">
        <v>23</v>
      </c>
      <c r="E20">
        <v>6</v>
      </c>
      <c r="F20" t="s">
        <v>29</v>
      </c>
      <c r="G20" t="s">
        <v>30</v>
      </c>
      <c r="H20" t="s">
        <v>85</v>
      </c>
      <c r="I20" t="s">
        <v>32</v>
      </c>
      <c r="J20" t="s">
        <v>86</v>
      </c>
      <c r="K20" t="s">
        <v>45</v>
      </c>
      <c r="L20" t="s">
        <v>23</v>
      </c>
      <c r="M20" t="s">
        <v>23</v>
      </c>
      <c r="N20" t="s">
        <v>23</v>
      </c>
      <c r="O20" t="s">
        <v>37</v>
      </c>
    </row>
    <row r="21" spans="1:15">
      <c r="A21" s="4" t="str">
        <f>HYPERLINK("https://www.analog.com/en/ADIS16465-2#details", "ADIS16465-2")</f>
        <v>ADIS16465-2</v>
      </c>
      <c r="B21" t="s">
        <v>42</v>
      </c>
      <c r="C21" t="s">
        <v>28</v>
      </c>
      <c r="D21" t="s">
        <v>23</v>
      </c>
      <c r="E21">
        <v>6</v>
      </c>
      <c r="F21" t="s">
        <v>29</v>
      </c>
      <c r="G21" t="s">
        <v>30</v>
      </c>
      <c r="H21" t="s">
        <v>85</v>
      </c>
      <c r="I21" t="s">
        <v>32</v>
      </c>
      <c r="J21" t="s">
        <v>86</v>
      </c>
      <c r="K21" t="s">
        <v>45</v>
      </c>
      <c r="L21" t="s">
        <v>23</v>
      </c>
      <c r="M21" t="s">
        <v>23</v>
      </c>
      <c r="N21" t="s">
        <v>23</v>
      </c>
      <c r="O21" t="s">
        <v>37</v>
      </c>
    </row>
    <row r="22" spans="1:15">
      <c r="A22" s="4" t="str">
        <f>HYPERLINK("https://www.analog.com/en/ADIS16465-3#details", "ADIS16465-3")</f>
        <v>ADIS16465-3</v>
      </c>
      <c r="B22" t="s">
        <v>42</v>
      </c>
      <c r="C22" t="s">
        <v>28</v>
      </c>
      <c r="D22" t="s">
        <v>23</v>
      </c>
      <c r="E22">
        <v>6</v>
      </c>
      <c r="F22" t="s">
        <v>29</v>
      </c>
      <c r="G22" t="s">
        <v>30</v>
      </c>
      <c r="H22" t="s">
        <v>85</v>
      </c>
      <c r="I22" t="s">
        <v>32</v>
      </c>
      <c r="J22" t="s">
        <v>86</v>
      </c>
      <c r="K22" t="s">
        <v>45</v>
      </c>
      <c r="L22" t="s">
        <v>23</v>
      </c>
      <c r="M22" t="s">
        <v>23</v>
      </c>
      <c r="N22" t="s">
        <v>23</v>
      </c>
      <c r="O22" t="s">
        <v>37</v>
      </c>
    </row>
    <row r="23" spans="1:15">
      <c r="A23" s="4" t="str">
        <f>HYPERLINK("https://www.analog.com/en/ADIS16467-1#details", "ADIS16467-1")</f>
        <v>ADIS16467-1</v>
      </c>
      <c r="B23" t="s">
        <v>42</v>
      </c>
      <c r="C23" t="s">
        <v>28</v>
      </c>
      <c r="D23" t="s">
        <v>23</v>
      </c>
      <c r="E23">
        <v>6</v>
      </c>
      <c r="F23" t="s">
        <v>29</v>
      </c>
      <c r="G23" t="s">
        <v>30</v>
      </c>
      <c r="H23" t="s">
        <v>85</v>
      </c>
      <c r="I23" t="s">
        <v>32</v>
      </c>
      <c r="J23" t="s">
        <v>87</v>
      </c>
      <c r="K23" t="s">
        <v>45</v>
      </c>
      <c r="L23" t="s">
        <v>23</v>
      </c>
      <c r="M23" t="s">
        <v>23</v>
      </c>
      <c r="N23" t="s">
        <v>23</v>
      </c>
      <c r="O23" t="s">
        <v>37</v>
      </c>
    </row>
    <row r="24" spans="1:15">
      <c r="A24" s="4" t="str">
        <f>HYPERLINK("https://www.analog.com/en/ADIS16467-2#details", "ADIS16467-2")</f>
        <v>ADIS16467-2</v>
      </c>
      <c r="B24" t="s">
        <v>42</v>
      </c>
      <c r="C24" t="s">
        <v>28</v>
      </c>
      <c r="D24" t="s">
        <v>23</v>
      </c>
      <c r="E24">
        <v>6</v>
      </c>
      <c r="F24" t="s">
        <v>29</v>
      </c>
      <c r="G24" t="s">
        <v>30</v>
      </c>
      <c r="H24" t="s">
        <v>85</v>
      </c>
      <c r="I24" t="s">
        <v>32</v>
      </c>
      <c r="J24" t="s">
        <v>87</v>
      </c>
      <c r="K24" t="s">
        <v>45</v>
      </c>
      <c r="L24" t="s">
        <v>23</v>
      </c>
      <c r="M24" t="s">
        <v>23</v>
      </c>
      <c r="N24" t="s">
        <v>23</v>
      </c>
      <c r="O24" t="s">
        <v>37</v>
      </c>
    </row>
    <row r="25" spans="1:15">
      <c r="A25" s="4" t="str">
        <f>HYPERLINK("https://www.analog.com/en/ADIS16467-3#details", "ADIS16467-3")</f>
        <v>ADIS16467-3</v>
      </c>
      <c r="B25" t="s">
        <v>42</v>
      </c>
      <c r="C25" t="s">
        <v>28</v>
      </c>
      <c r="D25" t="s">
        <v>23</v>
      </c>
      <c r="E25">
        <v>6</v>
      </c>
      <c r="F25" t="s">
        <v>29</v>
      </c>
      <c r="G25" t="s">
        <v>30</v>
      </c>
      <c r="H25" t="s">
        <v>85</v>
      </c>
      <c r="I25" t="s">
        <v>32</v>
      </c>
      <c r="J25" t="s">
        <v>87</v>
      </c>
      <c r="K25" t="s">
        <v>45</v>
      </c>
      <c r="L25" t="s">
        <v>23</v>
      </c>
      <c r="M25" t="s">
        <v>23</v>
      </c>
      <c r="N25" t="s">
        <v>23</v>
      </c>
      <c r="O25" t="s">
        <v>37</v>
      </c>
    </row>
    <row r="26" spans="1:15">
      <c r="A26" s="4" t="str">
        <f>HYPERLINK("https://www.analog.com/en/ADIS16475-1#details", "ADIS16475-1")</f>
        <v>ADIS16475-1</v>
      </c>
      <c r="B26" t="s">
        <v>88</v>
      </c>
      <c r="C26" t="s">
        <v>28</v>
      </c>
      <c r="D26" t="s">
        <v>23</v>
      </c>
      <c r="E26">
        <v>6</v>
      </c>
      <c r="F26" t="s">
        <v>29</v>
      </c>
      <c r="G26" t="s">
        <v>30</v>
      </c>
      <c r="H26" t="s">
        <v>47</v>
      </c>
      <c r="I26" t="s">
        <v>32</v>
      </c>
      <c r="J26" t="s">
        <v>89</v>
      </c>
      <c r="K26" t="s">
        <v>90</v>
      </c>
      <c r="L26" t="s">
        <v>23</v>
      </c>
      <c r="M26" t="s">
        <v>23</v>
      </c>
      <c r="N26" t="s">
        <v>23</v>
      </c>
      <c r="O26" t="s">
        <v>37</v>
      </c>
    </row>
    <row r="27" spans="1:15">
      <c r="A27" s="4" t="str">
        <f>HYPERLINK("https://www.analog.com/en/ADIS16475-2#details", "ADIS16475-2")</f>
        <v>ADIS16475-2</v>
      </c>
      <c r="B27" t="s">
        <v>88</v>
      </c>
      <c r="C27" t="s">
        <v>28</v>
      </c>
      <c r="D27" t="s">
        <v>23</v>
      </c>
      <c r="E27">
        <v>6</v>
      </c>
      <c r="F27" t="s">
        <v>29</v>
      </c>
      <c r="G27" t="s">
        <v>30</v>
      </c>
      <c r="H27" t="s">
        <v>47</v>
      </c>
      <c r="I27" t="s">
        <v>32</v>
      </c>
      <c r="J27" t="s">
        <v>89</v>
      </c>
      <c r="K27" t="s">
        <v>90</v>
      </c>
      <c r="L27" t="s">
        <v>23</v>
      </c>
      <c r="M27" t="s">
        <v>23</v>
      </c>
      <c r="N27" t="s">
        <v>23</v>
      </c>
      <c r="O27" t="s">
        <v>37</v>
      </c>
    </row>
    <row r="28" spans="1:15">
      <c r="A28" s="4" t="str">
        <f>HYPERLINK("https://www.analog.com/en/ADIS16475-3#details", "ADIS16475-3")</f>
        <v>ADIS16475-3</v>
      </c>
      <c r="B28" t="s">
        <v>88</v>
      </c>
      <c r="C28" t="s">
        <v>28</v>
      </c>
      <c r="D28" t="s">
        <v>23</v>
      </c>
      <c r="E28">
        <v>6</v>
      </c>
      <c r="F28" t="s">
        <v>29</v>
      </c>
      <c r="G28" t="s">
        <v>30</v>
      </c>
      <c r="H28" t="s">
        <v>47</v>
      </c>
      <c r="I28" t="s">
        <v>32</v>
      </c>
      <c r="J28" t="s">
        <v>89</v>
      </c>
      <c r="K28" t="s">
        <v>90</v>
      </c>
      <c r="L28" t="s">
        <v>23</v>
      </c>
      <c r="M28" t="s">
        <v>23</v>
      </c>
      <c r="N28" t="s">
        <v>23</v>
      </c>
      <c r="O28" t="s">
        <v>37</v>
      </c>
    </row>
    <row r="29" spans="1:15">
      <c r="A29" s="4" t="str">
        <f>HYPERLINK("https://www.analog.com/en/ADIS16477-1#details", "ADIS16477-1")</f>
        <v>ADIS16477-1</v>
      </c>
      <c r="B29" t="s">
        <v>91</v>
      </c>
      <c r="C29" t="s">
        <v>28</v>
      </c>
      <c r="D29" t="s">
        <v>23</v>
      </c>
      <c r="E29">
        <v>6</v>
      </c>
      <c r="F29" t="s">
        <v>29</v>
      </c>
      <c r="G29" t="s">
        <v>30</v>
      </c>
      <c r="H29" t="s">
        <v>47</v>
      </c>
      <c r="I29" t="s">
        <v>32</v>
      </c>
      <c r="J29" t="s">
        <v>92</v>
      </c>
      <c r="K29" t="s">
        <v>90</v>
      </c>
      <c r="L29" t="s">
        <v>23</v>
      </c>
      <c r="M29" t="s">
        <v>23</v>
      </c>
      <c r="N29" t="s">
        <v>23</v>
      </c>
      <c r="O29" t="s">
        <v>37</v>
      </c>
    </row>
    <row r="30" spans="1:15">
      <c r="A30" s="4" t="str">
        <f>HYPERLINK("https://www.analog.com/en/ADIS16477-2#details", "ADIS16477-2")</f>
        <v>ADIS16477-2</v>
      </c>
      <c r="B30" t="s">
        <v>91</v>
      </c>
      <c r="C30" t="s">
        <v>28</v>
      </c>
      <c r="D30" t="s">
        <v>23</v>
      </c>
      <c r="E30">
        <v>6</v>
      </c>
      <c r="F30" t="s">
        <v>29</v>
      </c>
      <c r="G30" t="s">
        <v>30</v>
      </c>
      <c r="H30" t="s">
        <v>47</v>
      </c>
      <c r="I30" t="s">
        <v>32</v>
      </c>
      <c r="J30" t="s">
        <v>92</v>
      </c>
      <c r="K30" t="s">
        <v>90</v>
      </c>
      <c r="L30" t="s">
        <v>23</v>
      </c>
      <c r="M30" t="s">
        <v>23</v>
      </c>
      <c r="N30" t="s">
        <v>23</v>
      </c>
      <c r="O30" t="s">
        <v>37</v>
      </c>
    </row>
    <row r="31" spans="1:15">
      <c r="A31" s="4" t="str">
        <f>HYPERLINK("https://www.analog.com/en/ADIS16477-3#details", "ADIS16477-3")</f>
        <v>ADIS16477-3</v>
      </c>
      <c r="B31" t="s">
        <v>91</v>
      </c>
      <c r="C31" t="s">
        <v>28</v>
      </c>
      <c r="D31" t="s">
        <v>23</v>
      </c>
      <c r="E31">
        <v>6</v>
      </c>
      <c r="F31" t="s">
        <v>29</v>
      </c>
      <c r="G31" t="s">
        <v>30</v>
      </c>
      <c r="H31" t="s">
        <v>47</v>
      </c>
      <c r="I31" t="s">
        <v>32</v>
      </c>
      <c r="J31" t="s">
        <v>92</v>
      </c>
      <c r="K31" t="s">
        <v>90</v>
      </c>
      <c r="L31" t="s">
        <v>23</v>
      </c>
      <c r="M31" t="s">
        <v>23</v>
      </c>
      <c r="N31" t="s">
        <v>23</v>
      </c>
      <c r="O31" t="s">
        <v>37</v>
      </c>
    </row>
    <row r="32" spans="1:15">
      <c r="A32" s="4" t="str">
        <f>HYPERLINK("https://www.analog.com/en/ADIS16495-1#details", "ADIS16495-1")</f>
        <v>ADIS16495-1</v>
      </c>
      <c r="B32" t="s">
        <v>93</v>
      </c>
      <c r="C32" t="s">
        <v>28</v>
      </c>
      <c r="D32" t="s">
        <v>23</v>
      </c>
      <c r="E32">
        <v>6</v>
      </c>
      <c r="F32" t="s">
        <v>29</v>
      </c>
      <c r="G32" t="s">
        <v>30</v>
      </c>
      <c r="H32" t="s">
        <v>85</v>
      </c>
      <c r="I32" t="s">
        <v>32</v>
      </c>
      <c r="J32" t="s">
        <v>94</v>
      </c>
      <c r="K32" t="s">
        <v>55</v>
      </c>
      <c r="L32" t="s">
        <v>95</v>
      </c>
      <c r="M32" t="s">
        <v>96</v>
      </c>
      <c r="N32" t="s">
        <v>23</v>
      </c>
      <c r="O32" t="s">
        <v>37</v>
      </c>
    </row>
    <row r="33" spans="1:15">
      <c r="A33" s="4" t="str">
        <f>HYPERLINK("https://www.analog.com/en/ADIS16495-2#details", "ADIS16495-2")</f>
        <v>ADIS16495-2</v>
      </c>
      <c r="B33" t="s">
        <v>93</v>
      </c>
      <c r="C33" t="s">
        <v>28</v>
      </c>
      <c r="D33" t="s">
        <v>23</v>
      </c>
      <c r="E33">
        <v>6</v>
      </c>
      <c r="F33" t="s">
        <v>29</v>
      </c>
      <c r="G33" t="s">
        <v>30</v>
      </c>
      <c r="H33" t="s">
        <v>85</v>
      </c>
      <c r="I33" t="s">
        <v>32</v>
      </c>
      <c r="J33" t="s">
        <v>94</v>
      </c>
      <c r="K33" t="s">
        <v>55</v>
      </c>
      <c r="L33" t="s">
        <v>95</v>
      </c>
      <c r="M33" t="s">
        <v>96</v>
      </c>
      <c r="N33" t="s">
        <v>23</v>
      </c>
      <c r="O33" t="s">
        <v>37</v>
      </c>
    </row>
    <row r="34" spans="1:15">
      <c r="A34" s="4" t="str">
        <f>HYPERLINK("https://www.analog.com/en/ADIS16495-3#details", "ADIS16495-3")</f>
        <v>ADIS16495-3</v>
      </c>
      <c r="B34" t="s">
        <v>93</v>
      </c>
      <c r="C34" t="s">
        <v>28</v>
      </c>
      <c r="D34" t="s">
        <v>23</v>
      </c>
      <c r="E34">
        <v>6</v>
      </c>
      <c r="F34" t="s">
        <v>29</v>
      </c>
      <c r="G34" t="s">
        <v>30</v>
      </c>
      <c r="H34" t="s">
        <v>85</v>
      </c>
      <c r="I34" t="s">
        <v>32</v>
      </c>
      <c r="J34" t="s">
        <v>94</v>
      </c>
      <c r="K34" t="s">
        <v>55</v>
      </c>
      <c r="L34" t="s">
        <v>95</v>
      </c>
      <c r="M34" t="s">
        <v>96</v>
      </c>
      <c r="N34" t="s">
        <v>23</v>
      </c>
      <c r="O34" t="s">
        <v>37</v>
      </c>
    </row>
    <row r="35" spans="1:15">
      <c r="A35" s="4" t="str">
        <f>HYPERLINK("https://www.analog.com/en/ADIS16497-1#details", "ADIS16497-1")</f>
        <v>ADIS16497-1</v>
      </c>
      <c r="B35" t="s">
        <v>93</v>
      </c>
      <c r="C35" t="s">
        <v>28</v>
      </c>
      <c r="D35" t="s">
        <v>23</v>
      </c>
      <c r="E35">
        <v>6</v>
      </c>
      <c r="F35" t="s">
        <v>29</v>
      </c>
      <c r="G35" t="s">
        <v>30</v>
      </c>
      <c r="H35" t="s">
        <v>85</v>
      </c>
      <c r="I35" t="s">
        <v>32</v>
      </c>
      <c r="J35" t="s">
        <v>97</v>
      </c>
      <c r="K35" t="s">
        <v>55</v>
      </c>
      <c r="L35" t="s">
        <v>98</v>
      </c>
      <c r="M35" t="s">
        <v>99</v>
      </c>
      <c r="N35" t="s">
        <v>23</v>
      </c>
      <c r="O35" t="s">
        <v>37</v>
      </c>
    </row>
    <row r="36" spans="1:15">
      <c r="A36" s="4" t="str">
        <f>HYPERLINK("https://www.analog.com/en/ADIS16497-2#details", "ADIS16497-2")</f>
        <v>ADIS16497-2</v>
      </c>
      <c r="B36" t="s">
        <v>93</v>
      </c>
      <c r="C36" t="s">
        <v>28</v>
      </c>
      <c r="D36" t="s">
        <v>23</v>
      </c>
      <c r="E36">
        <v>6</v>
      </c>
      <c r="F36" t="s">
        <v>29</v>
      </c>
      <c r="G36" t="s">
        <v>30</v>
      </c>
      <c r="H36" t="s">
        <v>85</v>
      </c>
      <c r="I36" t="s">
        <v>32</v>
      </c>
      <c r="J36" t="s">
        <v>97</v>
      </c>
      <c r="K36" t="s">
        <v>55</v>
      </c>
      <c r="L36" t="s">
        <v>98</v>
      </c>
      <c r="M36" t="s">
        <v>99</v>
      </c>
      <c r="N36" t="s">
        <v>23</v>
      </c>
      <c r="O36" t="s">
        <v>37</v>
      </c>
    </row>
    <row r="37" spans="1:15">
      <c r="A37" s="4" t="str">
        <f>HYPERLINK("https://www.analog.com/en/ADIS16497-3#details", "ADIS16497-3")</f>
        <v>ADIS16497-3</v>
      </c>
      <c r="B37" t="s">
        <v>93</v>
      </c>
      <c r="C37" t="s">
        <v>28</v>
      </c>
      <c r="D37" t="s">
        <v>23</v>
      </c>
      <c r="E37">
        <v>6</v>
      </c>
      <c r="F37" t="s">
        <v>29</v>
      </c>
      <c r="G37" t="s">
        <v>30</v>
      </c>
      <c r="H37" t="s">
        <v>85</v>
      </c>
      <c r="I37" t="s">
        <v>32</v>
      </c>
      <c r="J37" t="s">
        <v>97</v>
      </c>
      <c r="K37" t="s">
        <v>55</v>
      </c>
      <c r="L37" t="s">
        <v>98</v>
      </c>
      <c r="M37" t="s">
        <v>99</v>
      </c>
      <c r="N37" t="s">
        <v>23</v>
      </c>
      <c r="O37" t="s">
        <v>37</v>
      </c>
    </row>
    <row r="38" spans="1:15">
      <c r="A38" s="4" t="str">
        <f>HYPERLINK("https://www.analog.com/en/ADIS16470#details", "ADIS16470")</f>
        <v>ADIS16470</v>
      </c>
      <c r="B38" t="s">
        <v>100</v>
      </c>
      <c r="C38" t="s">
        <v>28</v>
      </c>
      <c r="D38" t="s">
        <v>43</v>
      </c>
      <c r="E38">
        <v>6</v>
      </c>
      <c r="F38" t="s">
        <v>29</v>
      </c>
      <c r="G38" t="s">
        <v>30</v>
      </c>
      <c r="H38" t="s">
        <v>47</v>
      </c>
      <c r="I38" t="s">
        <v>78</v>
      </c>
      <c r="J38" t="s">
        <v>101</v>
      </c>
      <c r="K38" t="s">
        <v>90</v>
      </c>
      <c r="L38" t="s">
        <v>23</v>
      </c>
      <c r="M38" t="s">
        <v>23</v>
      </c>
      <c r="N38">
        <v>0</v>
      </c>
      <c r="O38" t="s">
        <v>37</v>
      </c>
    </row>
    <row r="39" spans="1:15">
      <c r="A39" s="4" t="str">
        <f>HYPERLINK("https://www.analog.com/en/ADXC1501#details", "ADXC1501")</f>
        <v>ADXC1501</v>
      </c>
      <c r="B39" t="s">
        <v>102</v>
      </c>
      <c r="C39" t="s">
        <v>28</v>
      </c>
      <c r="D39" t="s">
        <v>43</v>
      </c>
      <c r="E39">
        <v>4</v>
      </c>
      <c r="F39" t="s">
        <v>103</v>
      </c>
      <c r="G39" t="s">
        <v>104</v>
      </c>
      <c r="H39" t="s">
        <v>23</v>
      </c>
      <c r="I39" t="s">
        <v>32</v>
      </c>
      <c r="J39" t="s">
        <v>23</v>
      </c>
      <c r="K39" t="s">
        <v>105</v>
      </c>
      <c r="L39" t="s">
        <v>106</v>
      </c>
      <c r="M39" t="s">
        <v>107</v>
      </c>
      <c r="N39">
        <v>0</v>
      </c>
      <c r="O39" t="s">
        <v>108</v>
      </c>
    </row>
    <row r="40" spans="1:15">
      <c r="A40" s="4" t="str">
        <f>HYPERLINK("https://www.analog.com/en/ADIS16489#details", "ADIS16489")</f>
        <v>ADIS16489</v>
      </c>
      <c r="B40" t="s">
        <v>109</v>
      </c>
      <c r="C40" t="s">
        <v>110</v>
      </c>
      <c r="D40" t="s">
        <v>43</v>
      </c>
      <c r="E40">
        <v>7</v>
      </c>
      <c r="F40" t="s">
        <v>29</v>
      </c>
      <c r="G40" t="s">
        <v>30</v>
      </c>
      <c r="H40" t="s">
        <v>111</v>
      </c>
      <c r="I40" t="s">
        <v>32</v>
      </c>
      <c r="J40" t="s">
        <v>112</v>
      </c>
      <c r="K40" t="s">
        <v>76</v>
      </c>
      <c r="L40" t="s">
        <v>23</v>
      </c>
      <c r="M40" t="s">
        <v>23</v>
      </c>
      <c r="N40">
        <v>31</v>
      </c>
      <c r="O40" t="s">
        <v>37</v>
      </c>
    </row>
    <row r="41" spans="1:15">
      <c r="A41" s="4" t="str">
        <f>HYPERLINK("https://www.analog.com/en/ADXC1500#details", "ADXC1500")</f>
        <v>ADXC1500</v>
      </c>
      <c r="B41" t="s">
        <v>113</v>
      </c>
      <c r="C41" t="s">
        <v>28</v>
      </c>
      <c r="D41" t="s">
        <v>43</v>
      </c>
      <c r="E41">
        <v>3</v>
      </c>
      <c r="F41" t="s">
        <v>103</v>
      </c>
      <c r="G41" t="s">
        <v>104</v>
      </c>
      <c r="H41" t="s">
        <v>23</v>
      </c>
      <c r="I41" t="s">
        <v>32</v>
      </c>
      <c r="J41" t="s">
        <v>23</v>
      </c>
      <c r="K41" t="s">
        <v>105</v>
      </c>
      <c r="L41" t="s">
        <v>114</v>
      </c>
      <c r="M41" t="s">
        <v>115</v>
      </c>
      <c r="N41">
        <v>0</v>
      </c>
      <c r="O41" t="s">
        <v>108</v>
      </c>
    </row>
    <row r="42" spans="1:15">
      <c r="A42" s="4" t="str">
        <f>HYPERLINK("https://www.analog.com/en/ADIS16490#details", "ADIS16490")</f>
        <v>ADIS16490</v>
      </c>
      <c r="B42" t="s">
        <v>93</v>
      </c>
      <c r="C42" t="s">
        <v>28</v>
      </c>
      <c r="D42" t="s">
        <v>43</v>
      </c>
      <c r="E42">
        <v>6</v>
      </c>
      <c r="F42" t="s">
        <v>29</v>
      </c>
      <c r="G42" t="s">
        <v>30</v>
      </c>
      <c r="H42" t="s">
        <v>85</v>
      </c>
      <c r="I42" t="s">
        <v>32</v>
      </c>
      <c r="J42" t="s">
        <v>116</v>
      </c>
      <c r="K42" t="s">
        <v>55</v>
      </c>
      <c r="L42" t="s">
        <v>117</v>
      </c>
      <c r="M42" t="s">
        <v>118</v>
      </c>
      <c r="N42">
        <v>1</v>
      </c>
      <c r="O42" t="s">
        <v>119</v>
      </c>
    </row>
    <row r="43" spans="1:15">
      <c r="A43" s="4" t="str">
        <f>HYPERLINK("https://www.analog.com/en/ADIS16488A#details", "ADIS16488A")</f>
        <v>ADIS16488A</v>
      </c>
      <c r="B43" t="s">
        <v>120</v>
      </c>
      <c r="C43" t="s">
        <v>121</v>
      </c>
      <c r="D43" t="s">
        <v>43</v>
      </c>
      <c r="E43">
        <v>10</v>
      </c>
      <c r="F43" t="s">
        <v>29</v>
      </c>
      <c r="G43" t="s">
        <v>30</v>
      </c>
      <c r="H43" t="s">
        <v>111</v>
      </c>
      <c r="I43" t="s">
        <v>32</v>
      </c>
      <c r="J43" t="s">
        <v>122</v>
      </c>
      <c r="K43" t="s">
        <v>76</v>
      </c>
      <c r="L43" t="s">
        <v>23</v>
      </c>
      <c r="M43" t="s">
        <v>23</v>
      </c>
      <c r="N43">
        <v>0</v>
      </c>
      <c r="O43" t="s">
        <v>108</v>
      </c>
    </row>
    <row r="44" spans="1:15">
      <c r="A44" s="4" t="str">
        <f>HYPERLINK("https://www.analog.com/en/ADIS16445#details", "ADIS16445")</f>
        <v>ADIS16445</v>
      </c>
      <c r="B44" t="s">
        <v>66</v>
      </c>
      <c r="C44" t="s">
        <v>28</v>
      </c>
      <c r="D44" t="s">
        <v>43</v>
      </c>
      <c r="E44">
        <v>6</v>
      </c>
      <c r="F44" t="s">
        <v>67</v>
      </c>
      <c r="G44" t="s">
        <v>68</v>
      </c>
      <c r="H44" t="s">
        <v>85</v>
      </c>
      <c r="I44" t="s">
        <v>32</v>
      </c>
      <c r="J44" t="s">
        <v>23</v>
      </c>
      <c r="K44" t="s">
        <v>71</v>
      </c>
      <c r="L44" t="s">
        <v>123</v>
      </c>
      <c r="M44" t="s">
        <v>124</v>
      </c>
      <c r="N44">
        <v>0</v>
      </c>
      <c r="O44" t="s">
        <v>37</v>
      </c>
    </row>
    <row r="45" spans="1:15">
      <c r="A45" s="4" t="str">
        <f>HYPERLINK("https://www.analog.com/en/ADIS16480#details", "ADIS16480")</f>
        <v>ADIS16480</v>
      </c>
      <c r="B45" t="s">
        <v>125</v>
      </c>
      <c r="C45" t="s">
        <v>121</v>
      </c>
      <c r="D45" t="s">
        <v>43</v>
      </c>
      <c r="E45">
        <v>10</v>
      </c>
      <c r="F45" t="s">
        <v>29</v>
      </c>
      <c r="G45" t="s">
        <v>30</v>
      </c>
      <c r="H45" t="s">
        <v>126</v>
      </c>
      <c r="I45" t="s">
        <v>32</v>
      </c>
      <c r="J45" t="s">
        <v>127</v>
      </c>
      <c r="K45" t="s">
        <v>76</v>
      </c>
      <c r="L45" t="s">
        <v>23</v>
      </c>
      <c r="M45" t="s">
        <v>23</v>
      </c>
      <c r="N45">
        <v>0</v>
      </c>
      <c r="O45" t="s">
        <v>37</v>
      </c>
    </row>
    <row r="46" spans="1:15">
      <c r="A46" s="4" t="str">
        <f>HYPERLINK("https://www.analog.com/en/ADIS16485#details", "ADIS16485")</f>
        <v>ADIS16485</v>
      </c>
      <c r="B46" t="s">
        <v>128</v>
      </c>
      <c r="C46" t="s">
        <v>28</v>
      </c>
      <c r="D46" t="s">
        <v>43</v>
      </c>
      <c r="E46">
        <v>6</v>
      </c>
      <c r="F46" t="s">
        <v>29</v>
      </c>
      <c r="G46" t="s">
        <v>30</v>
      </c>
      <c r="H46" t="s">
        <v>85</v>
      </c>
      <c r="I46" t="s">
        <v>32</v>
      </c>
      <c r="J46" t="s">
        <v>23</v>
      </c>
      <c r="K46" t="s">
        <v>76</v>
      </c>
      <c r="L46" t="s">
        <v>23</v>
      </c>
      <c r="M46" t="s">
        <v>23</v>
      </c>
      <c r="N46">
        <v>0</v>
      </c>
      <c r="O46" t="s">
        <v>37</v>
      </c>
    </row>
    <row r="47" spans="1:15">
      <c r="A47" s="4" t="str">
        <f>HYPERLINK("https://www.analog.com/en/ADIS16448#details", "ADIS16448")</f>
        <v>ADIS16448</v>
      </c>
      <c r="B47" t="s">
        <v>129</v>
      </c>
      <c r="C47" t="s">
        <v>130</v>
      </c>
      <c r="D47" t="s">
        <v>23</v>
      </c>
      <c r="E47">
        <v>10</v>
      </c>
      <c r="F47" t="s">
        <v>67</v>
      </c>
      <c r="G47" t="s">
        <v>68</v>
      </c>
      <c r="H47" t="s">
        <v>126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>
        <v>0</v>
      </c>
      <c r="O47" t="s">
        <v>131</v>
      </c>
    </row>
    <row r="48" spans="1:15">
      <c r="A48" s="4" t="str">
        <f>HYPERLINK("https://www.analog.com/en/ADIS16334#details", "ADIS16334")</f>
        <v>ADIS16334</v>
      </c>
      <c r="B48" t="s">
        <v>132</v>
      </c>
      <c r="C48" t="s">
        <v>28</v>
      </c>
      <c r="D48" t="s">
        <v>43</v>
      </c>
      <c r="E48">
        <v>6</v>
      </c>
      <c r="F48" t="s">
        <v>61</v>
      </c>
      <c r="G48" t="s">
        <v>62</v>
      </c>
      <c r="H48" t="s">
        <v>85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>
        <v>0</v>
      </c>
      <c r="O48" t="s">
        <v>37</v>
      </c>
    </row>
    <row r="49" spans="1:15">
      <c r="A49" s="4" t="str">
        <f>HYPERLINK("https://www.analog.com/en/ADIS16375#details", "ADIS16375")</f>
        <v>ADIS16375</v>
      </c>
      <c r="B49" t="s">
        <v>133</v>
      </c>
      <c r="C49" t="s">
        <v>28</v>
      </c>
      <c r="D49" t="s">
        <v>43</v>
      </c>
      <c r="E49">
        <v>6</v>
      </c>
      <c r="F49" t="s">
        <v>29</v>
      </c>
      <c r="G49" t="s">
        <v>30</v>
      </c>
      <c r="H49" t="s">
        <v>85</v>
      </c>
      <c r="I49" t="s">
        <v>32</v>
      </c>
      <c r="J49" t="s">
        <v>134</v>
      </c>
      <c r="K49" t="s">
        <v>76</v>
      </c>
      <c r="L49" t="s">
        <v>23</v>
      </c>
      <c r="M49" t="s">
        <v>23</v>
      </c>
      <c r="N49">
        <v>75</v>
      </c>
      <c r="O49" t="s">
        <v>37</v>
      </c>
    </row>
    <row r="50" spans="1:15">
      <c r="A50" s="4" t="str">
        <f>HYPERLINK("https://www.analog.com/en/ADIS16362#details", "ADIS16362")</f>
        <v>ADIS16362</v>
      </c>
      <c r="B50" t="s">
        <v>74</v>
      </c>
      <c r="C50" t="s">
        <v>28</v>
      </c>
      <c r="D50" t="s">
        <v>43</v>
      </c>
      <c r="E50">
        <v>6</v>
      </c>
      <c r="F50" t="s">
        <v>61</v>
      </c>
      <c r="G50" t="s">
        <v>62</v>
      </c>
      <c r="H50" t="s">
        <v>23</v>
      </c>
      <c r="I50" t="s">
        <v>32</v>
      </c>
      <c r="J50" t="s">
        <v>135</v>
      </c>
      <c r="K50" t="s">
        <v>55</v>
      </c>
      <c r="L50" t="s">
        <v>136</v>
      </c>
      <c r="M50" t="s">
        <v>137</v>
      </c>
      <c r="N50">
        <v>370</v>
      </c>
      <c r="O50" t="s">
        <v>108</v>
      </c>
    </row>
    <row r="51" spans="1:15">
      <c r="A51" s="4" t="str">
        <f>HYPERLINK("https://www.analog.com/en/ADIS16364#details", "ADIS16364")</f>
        <v>ADIS16364</v>
      </c>
      <c r="B51" t="s">
        <v>74</v>
      </c>
      <c r="C51" t="s">
        <v>28</v>
      </c>
      <c r="D51" t="s">
        <v>43</v>
      </c>
      <c r="E51">
        <v>6</v>
      </c>
      <c r="F51" t="s">
        <v>61</v>
      </c>
      <c r="G51" t="s">
        <v>62</v>
      </c>
      <c r="H51" t="s">
        <v>23</v>
      </c>
      <c r="I51" t="s">
        <v>32</v>
      </c>
      <c r="J51" t="s">
        <v>138</v>
      </c>
      <c r="K51" t="s">
        <v>55</v>
      </c>
      <c r="L51" t="s">
        <v>139</v>
      </c>
      <c r="M51" t="s">
        <v>140</v>
      </c>
      <c r="N51">
        <v>234</v>
      </c>
      <c r="O51" t="s">
        <v>108</v>
      </c>
    </row>
    <row r="52" spans="1:15">
      <c r="A52" s="4" t="str">
        <f>HYPERLINK("https://www.analog.com/en/ADIS16365#details", "ADIS16365")</f>
        <v>ADIS16365</v>
      </c>
      <c r="B52" t="s">
        <v>74</v>
      </c>
      <c r="C52" t="s">
        <v>28</v>
      </c>
      <c r="D52" t="s">
        <v>43</v>
      </c>
      <c r="E52">
        <v>6</v>
      </c>
      <c r="F52" t="s">
        <v>61</v>
      </c>
      <c r="G52" t="s">
        <v>62</v>
      </c>
      <c r="H52" t="s">
        <v>23</v>
      </c>
      <c r="I52" t="s">
        <v>32</v>
      </c>
      <c r="J52" t="s">
        <v>141</v>
      </c>
      <c r="K52" t="s">
        <v>55</v>
      </c>
      <c r="L52" t="s">
        <v>142</v>
      </c>
      <c r="M52" t="s">
        <v>143</v>
      </c>
      <c r="N52">
        <v>0</v>
      </c>
      <c r="O52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O52"/>
  <sheetViews>
    <sheetView tabSelected="1" topLeftCell="A4" workbookViewId="0">
      <selection activeCell="K11" sqref="K11"/>
    </sheetView>
  </sheetViews>
  <sheetFormatPr defaultRowHeight="14.4"/>
  <cols>
    <col min="1" max="1" width="16.5546875" style="5" customWidth="1"/>
    <col min="2" max="2" width="23.88671875" style="5" customWidth="1"/>
    <col min="3" max="3" width="25.77734375" style="5" customWidth="1"/>
    <col min="4" max="4" width="14.88671875" style="5" customWidth="1"/>
    <col min="5" max="5" width="6.33203125" style="5" customWidth="1"/>
    <col min="6" max="6" width="8" style="5" customWidth="1"/>
    <col min="7" max="7" width="6.6640625" style="5" customWidth="1"/>
    <col min="8" max="8" width="11.88671875" style="5" customWidth="1"/>
    <col min="9" max="9" width="12.77734375" style="5" customWidth="1"/>
    <col min="10" max="10" width="10.109375" style="5" customWidth="1"/>
    <col min="11" max="11" width="15" style="5" customWidth="1"/>
    <col min="12" max="12" width="5.77734375" style="5" customWidth="1"/>
    <col min="13" max="13" width="5.88671875" style="5" customWidth="1"/>
    <col min="14" max="14" width="7.109375" style="5" customWidth="1"/>
    <col min="15" max="15" width="12.44140625" style="5" customWidth="1"/>
    <col min="16" max="16384" width="8.88671875" style="5"/>
  </cols>
  <sheetData>
    <row r="1" spans="1:15" s="9" customFormat="1" ht="72">
      <c r="A1" s="8" t="s">
        <v>8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</row>
    <row r="2" spans="1:15">
      <c r="A2" s="7" t="str">
        <f>HYPERLINK("https://www.analog.com/en/ADIS16500#details", "ADIS16500")</f>
        <v>ADIS16500</v>
      </c>
      <c r="B2" s="5" t="s">
        <v>150</v>
      </c>
      <c r="C2" s="5" t="s">
        <v>144</v>
      </c>
      <c r="D2" s="5" t="s">
        <v>43</v>
      </c>
      <c r="E2" s="5">
        <v>6</v>
      </c>
      <c r="F2" s="5">
        <v>3</v>
      </c>
      <c r="G2" s="5">
        <v>3.6</v>
      </c>
      <c r="H2" s="5" t="s">
        <v>47</v>
      </c>
      <c r="I2" s="5" t="s">
        <v>78</v>
      </c>
      <c r="J2" s="5">
        <v>265.76</v>
      </c>
      <c r="K2" s="5" t="s">
        <v>34</v>
      </c>
      <c r="L2" s="5">
        <v>225</v>
      </c>
      <c r="M2" s="5">
        <v>5.72</v>
      </c>
      <c r="N2" s="5">
        <v>0</v>
      </c>
      <c r="O2" s="5" t="s">
        <v>37</v>
      </c>
    </row>
    <row r="3" spans="1:15">
      <c r="A3" s="7" t="str">
        <f>HYPERLINK("https://www.analog.com/en/ADIS16470#details", "ADIS16470")</f>
        <v>ADIS16470</v>
      </c>
      <c r="B3" s="5" t="s">
        <v>154</v>
      </c>
      <c r="C3" s="5" t="s">
        <v>144</v>
      </c>
      <c r="D3" s="5" t="s">
        <v>43</v>
      </c>
      <c r="E3" s="5">
        <v>6</v>
      </c>
      <c r="F3" s="5">
        <v>3</v>
      </c>
      <c r="G3" s="5">
        <v>3.6</v>
      </c>
      <c r="H3" s="5" t="s">
        <v>47</v>
      </c>
      <c r="I3" s="5" t="s">
        <v>78</v>
      </c>
      <c r="J3" s="5">
        <v>300.14</v>
      </c>
      <c r="K3" s="5" t="s">
        <v>90</v>
      </c>
      <c r="L3" s="5" t="s">
        <v>23</v>
      </c>
      <c r="M3" s="5" t="s">
        <v>23</v>
      </c>
      <c r="N3" s="5">
        <v>0</v>
      </c>
      <c r="O3" s="5" t="s">
        <v>37</v>
      </c>
    </row>
    <row r="4" spans="1:15">
      <c r="A4" s="7" t="str">
        <f>HYPERLINK("https://www.analog.com/en/ADIS16465-1#details", "ADIS16465-1")</f>
        <v>ADIS16465-1</v>
      </c>
      <c r="B4" s="5" t="s">
        <v>42</v>
      </c>
      <c r="C4" s="5" t="s">
        <v>144</v>
      </c>
      <c r="D4" s="5" t="s">
        <v>23</v>
      </c>
      <c r="E4" s="5">
        <v>6</v>
      </c>
      <c r="F4" s="5">
        <v>3</v>
      </c>
      <c r="G4" s="5">
        <v>3.6</v>
      </c>
      <c r="H4" s="5" t="s">
        <v>85</v>
      </c>
      <c r="I4" s="5" t="s">
        <v>32</v>
      </c>
      <c r="J4" s="5">
        <v>453.15</v>
      </c>
      <c r="K4" s="5" t="s">
        <v>45</v>
      </c>
      <c r="L4" s="5" t="s">
        <v>23</v>
      </c>
      <c r="M4" s="5" t="s">
        <v>23</v>
      </c>
      <c r="N4" s="5" t="s">
        <v>23</v>
      </c>
      <c r="O4" s="5" t="s">
        <v>37</v>
      </c>
    </row>
    <row r="5" spans="1:15">
      <c r="A5" s="7" t="str">
        <f>HYPERLINK("https://www.analog.com/en/ADIS16465-2#details", "ADIS16465-2")</f>
        <v>ADIS16465-2</v>
      </c>
      <c r="B5" s="5" t="s">
        <v>42</v>
      </c>
      <c r="C5" s="5" t="s">
        <v>144</v>
      </c>
      <c r="D5" s="5" t="s">
        <v>23</v>
      </c>
      <c r="E5" s="5">
        <v>6</v>
      </c>
      <c r="F5" s="5">
        <v>3</v>
      </c>
      <c r="G5" s="5">
        <v>3.6</v>
      </c>
      <c r="H5" s="5" t="s">
        <v>85</v>
      </c>
      <c r="I5" s="5" t="s">
        <v>32</v>
      </c>
      <c r="J5" s="5">
        <v>453.15</v>
      </c>
      <c r="K5" s="5" t="s">
        <v>45</v>
      </c>
      <c r="L5" s="5" t="s">
        <v>23</v>
      </c>
      <c r="M5" s="5" t="s">
        <v>23</v>
      </c>
      <c r="N5" s="5" t="s">
        <v>23</v>
      </c>
      <c r="O5" s="5" t="s">
        <v>37</v>
      </c>
    </row>
    <row r="6" spans="1:15">
      <c r="A6" s="7" t="str">
        <f>HYPERLINK("https://www.analog.com/en/ADIS16465-3#details", "ADIS16465-3")</f>
        <v>ADIS16465-3</v>
      </c>
      <c r="B6" s="5" t="s">
        <v>42</v>
      </c>
      <c r="C6" s="5" t="s">
        <v>144</v>
      </c>
      <c r="D6" s="5" t="s">
        <v>23</v>
      </c>
      <c r="E6" s="5">
        <v>6</v>
      </c>
      <c r="F6" s="5">
        <v>3</v>
      </c>
      <c r="G6" s="5">
        <v>3.6</v>
      </c>
      <c r="H6" s="5" t="s">
        <v>85</v>
      </c>
      <c r="I6" s="5" t="s">
        <v>32</v>
      </c>
      <c r="J6" s="5">
        <v>453.15</v>
      </c>
      <c r="K6" s="5" t="s">
        <v>45</v>
      </c>
      <c r="L6" s="5" t="s">
        <v>23</v>
      </c>
      <c r="M6" s="5" t="s">
        <v>23</v>
      </c>
      <c r="N6" s="5" t="s">
        <v>23</v>
      </c>
      <c r="O6" s="5" t="s">
        <v>37</v>
      </c>
    </row>
    <row r="7" spans="1:15">
      <c r="A7" s="7" t="str">
        <f>HYPERLINK("https://www.analog.com/en/ADIS16505-1#details", "ADIS16505-1")</f>
        <v>ADIS16505-1</v>
      </c>
      <c r="B7" s="5" t="s">
        <v>23</v>
      </c>
      <c r="C7" s="5" t="s">
        <v>144</v>
      </c>
      <c r="D7" s="5" t="s">
        <v>23</v>
      </c>
      <c r="E7" s="5">
        <v>6</v>
      </c>
      <c r="F7" s="5">
        <v>3</v>
      </c>
      <c r="G7" s="5">
        <v>3.6</v>
      </c>
      <c r="H7" s="5" t="s">
        <v>145</v>
      </c>
      <c r="I7" s="5" t="s">
        <v>32</v>
      </c>
      <c r="J7" s="5">
        <v>597.94000000000005</v>
      </c>
      <c r="K7" s="5" t="s">
        <v>34</v>
      </c>
      <c r="L7" s="5">
        <v>225</v>
      </c>
      <c r="M7" s="5">
        <v>5.72</v>
      </c>
      <c r="N7" s="5" t="s">
        <v>23</v>
      </c>
      <c r="O7" s="5" t="s">
        <v>37</v>
      </c>
    </row>
    <row r="8" spans="1:15">
      <c r="A8" s="7" t="str">
        <f>HYPERLINK("https://www.analog.com/en/ADIS16505-2#details", "ADIS16505-2")</f>
        <v>ADIS16505-2</v>
      </c>
      <c r="B8" s="5" t="s">
        <v>23</v>
      </c>
      <c r="C8" s="5" t="s">
        <v>144</v>
      </c>
      <c r="D8" s="5" t="s">
        <v>23</v>
      </c>
      <c r="E8" s="5">
        <v>6</v>
      </c>
      <c r="F8" s="5">
        <v>3</v>
      </c>
      <c r="G8" s="5">
        <v>3.6</v>
      </c>
      <c r="H8" s="5" t="s">
        <v>145</v>
      </c>
      <c r="I8" s="5" t="s">
        <v>32</v>
      </c>
      <c r="J8" s="5">
        <v>597.94000000000005</v>
      </c>
      <c r="K8" s="5" t="s">
        <v>34</v>
      </c>
      <c r="L8" s="5">
        <v>225</v>
      </c>
      <c r="M8" s="5">
        <v>5.72</v>
      </c>
      <c r="N8" s="5" t="s">
        <v>23</v>
      </c>
      <c r="O8" s="5" t="s">
        <v>37</v>
      </c>
    </row>
    <row r="9" spans="1:15">
      <c r="A9" s="7" t="str">
        <f>HYPERLINK("https://www.analog.com/en/ADIS16505-3#details", "ADIS16505-3")</f>
        <v>ADIS16505-3</v>
      </c>
      <c r="B9" s="5" t="s">
        <v>23</v>
      </c>
      <c r="C9" s="5" t="s">
        <v>144</v>
      </c>
      <c r="D9" s="5" t="s">
        <v>23</v>
      </c>
      <c r="E9" s="5">
        <v>6</v>
      </c>
      <c r="F9" s="5">
        <v>3</v>
      </c>
      <c r="G9" s="5">
        <v>3.6</v>
      </c>
      <c r="H9" s="5" t="s">
        <v>145</v>
      </c>
      <c r="I9" s="5" t="s">
        <v>32</v>
      </c>
      <c r="J9" s="5">
        <v>597.94000000000005</v>
      </c>
      <c r="K9" s="5" t="s">
        <v>34</v>
      </c>
      <c r="L9" s="5">
        <v>225</v>
      </c>
      <c r="M9" s="5">
        <v>5.72</v>
      </c>
      <c r="N9" s="5" t="s">
        <v>23</v>
      </c>
      <c r="O9" s="5" t="s">
        <v>37</v>
      </c>
    </row>
    <row r="10" spans="1:15">
      <c r="A10" s="7" t="str">
        <f>HYPERLINK("https://www.analog.com/en/ADIS16507-1#details", "ADIS16507-1")</f>
        <v>ADIS16507-1</v>
      </c>
      <c r="B10" s="5" t="s">
        <v>150</v>
      </c>
      <c r="C10" s="5" t="s">
        <v>144</v>
      </c>
      <c r="D10" s="5" t="s">
        <v>23</v>
      </c>
      <c r="E10" s="5">
        <v>6</v>
      </c>
      <c r="F10" s="5">
        <v>3</v>
      </c>
      <c r="G10" s="5">
        <v>3.6</v>
      </c>
      <c r="H10" s="5" t="s">
        <v>145</v>
      </c>
      <c r="I10" s="5" t="s">
        <v>32</v>
      </c>
      <c r="J10" s="5">
        <v>597.94000000000005</v>
      </c>
      <c r="K10" s="5" t="s">
        <v>34</v>
      </c>
      <c r="L10" s="5">
        <v>225</v>
      </c>
      <c r="M10" s="5">
        <v>5.72</v>
      </c>
      <c r="N10" s="5" t="s">
        <v>23</v>
      </c>
      <c r="O10" s="5" t="s">
        <v>37</v>
      </c>
    </row>
    <row r="11" spans="1:15">
      <c r="A11" s="7" t="str">
        <f>HYPERLINK("https://www.analog.com/en/ADIS16507-2#details", "ADIS16507-2")</f>
        <v>ADIS16507-2</v>
      </c>
      <c r="B11" s="5" t="s">
        <v>150</v>
      </c>
      <c r="C11" s="5" t="s">
        <v>144</v>
      </c>
      <c r="D11" s="5" t="s">
        <v>23</v>
      </c>
      <c r="E11" s="5">
        <v>6</v>
      </c>
      <c r="F11" s="5">
        <v>3</v>
      </c>
      <c r="G11" s="5">
        <v>3.6</v>
      </c>
      <c r="H11" s="5" t="s">
        <v>145</v>
      </c>
      <c r="I11" s="5" t="s">
        <v>32</v>
      </c>
      <c r="J11" s="5">
        <v>597.94000000000005</v>
      </c>
      <c r="K11" s="5" t="s">
        <v>34</v>
      </c>
      <c r="L11" s="5">
        <v>225</v>
      </c>
      <c r="M11" s="5">
        <v>5.72</v>
      </c>
      <c r="N11" s="5" t="s">
        <v>23</v>
      </c>
      <c r="O11" s="5" t="s">
        <v>37</v>
      </c>
    </row>
    <row r="12" spans="1:15">
      <c r="A12" s="7" t="str">
        <f>HYPERLINK("https://www.analog.com/en/ADIS16507-3#details", "ADIS16507-3")</f>
        <v>ADIS16507-3</v>
      </c>
      <c r="B12" s="5" t="s">
        <v>150</v>
      </c>
      <c r="C12" s="5" t="s">
        <v>144</v>
      </c>
      <c r="D12" s="5" t="s">
        <v>23</v>
      </c>
      <c r="E12" s="5">
        <v>6</v>
      </c>
      <c r="F12" s="5">
        <v>3</v>
      </c>
      <c r="G12" s="5">
        <v>3.6</v>
      </c>
      <c r="H12" s="5" t="s">
        <v>145</v>
      </c>
      <c r="I12" s="5" t="s">
        <v>32</v>
      </c>
      <c r="J12" s="5">
        <v>597.94000000000005</v>
      </c>
      <c r="K12" s="5" t="s">
        <v>34</v>
      </c>
      <c r="L12" s="5">
        <v>225</v>
      </c>
      <c r="M12" s="5">
        <v>5.72</v>
      </c>
      <c r="N12" s="5" t="s">
        <v>23</v>
      </c>
      <c r="O12" s="5" t="s">
        <v>37</v>
      </c>
    </row>
    <row r="13" spans="1:15">
      <c r="A13" s="7" t="str">
        <f>HYPERLINK("https://www.analog.com/en/ADIS16575#details", "ADIS16575")</f>
        <v>ADIS16575</v>
      </c>
      <c r="B13" s="5" t="s">
        <v>42</v>
      </c>
      <c r="C13" s="5" t="s">
        <v>144</v>
      </c>
      <c r="D13" s="5" t="s">
        <v>43</v>
      </c>
      <c r="E13" s="5">
        <v>6</v>
      </c>
      <c r="F13" s="5">
        <v>3</v>
      </c>
      <c r="G13" s="5">
        <v>3.6</v>
      </c>
      <c r="H13" s="5" t="s">
        <v>23</v>
      </c>
      <c r="I13" s="5" t="s">
        <v>32</v>
      </c>
      <c r="J13" s="5">
        <v>610.75</v>
      </c>
      <c r="K13" s="5" t="s">
        <v>45</v>
      </c>
      <c r="L13" s="5" t="s">
        <v>23</v>
      </c>
      <c r="M13" s="5" t="s">
        <v>23</v>
      </c>
      <c r="N13" s="5">
        <v>1</v>
      </c>
      <c r="O13" s="5" t="s">
        <v>37</v>
      </c>
    </row>
    <row r="14" spans="1:15">
      <c r="A14" s="7" t="str">
        <f>HYPERLINK("https://www.analog.com/en/ADIS16576#details", "ADIS16576")</f>
        <v>ADIS16576</v>
      </c>
      <c r="B14" s="5" t="s">
        <v>42</v>
      </c>
      <c r="C14" s="5" t="s">
        <v>144</v>
      </c>
      <c r="D14" s="5" t="s">
        <v>43</v>
      </c>
      <c r="E14" s="5">
        <v>6</v>
      </c>
      <c r="F14" s="5">
        <v>3</v>
      </c>
      <c r="G14" s="5">
        <v>3.6</v>
      </c>
      <c r="H14" s="5" t="s">
        <v>23</v>
      </c>
      <c r="I14" s="5" t="s">
        <v>32</v>
      </c>
      <c r="J14" s="5">
        <v>610.75</v>
      </c>
      <c r="K14" s="5" t="s">
        <v>45</v>
      </c>
      <c r="L14" s="5" t="s">
        <v>23</v>
      </c>
      <c r="M14" s="5" t="s">
        <v>23</v>
      </c>
      <c r="N14" s="5">
        <v>170</v>
      </c>
      <c r="O14" s="5" t="s">
        <v>37</v>
      </c>
    </row>
    <row r="15" spans="1:15">
      <c r="A15" s="7" t="str">
        <f>HYPERLINK("https://www.analog.com/en/ADIS16577#details", "ADIS16577")</f>
        <v>ADIS16577</v>
      </c>
      <c r="B15" s="5" t="s">
        <v>42</v>
      </c>
      <c r="C15" s="5" t="s">
        <v>144</v>
      </c>
      <c r="D15" s="5" t="s">
        <v>43</v>
      </c>
      <c r="E15" s="5">
        <v>6</v>
      </c>
      <c r="F15" s="5">
        <v>3</v>
      </c>
      <c r="G15" s="5">
        <v>3.6</v>
      </c>
      <c r="H15" s="5" t="s">
        <v>47</v>
      </c>
      <c r="I15" s="5" t="s">
        <v>32</v>
      </c>
      <c r="J15" s="5">
        <v>610.75</v>
      </c>
      <c r="K15" s="5" t="s">
        <v>45</v>
      </c>
      <c r="L15" s="5" t="s">
        <v>23</v>
      </c>
      <c r="M15" s="5" t="s">
        <v>23</v>
      </c>
      <c r="N15" s="5">
        <v>11</v>
      </c>
      <c r="O15" s="5" t="s">
        <v>37</v>
      </c>
    </row>
    <row r="16" spans="1:15">
      <c r="A16" s="7" t="str">
        <f>HYPERLINK("https://www.analog.com/en/ADIS16475-1#details", "ADIS16475-1")</f>
        <v>ADIS16475-1</v>
      </c>
      <c r="B16" s="5" t="s">
        <v>151</v>
      </c>
      <c r="C16" s="5" t="s">
        <v>144</v>
      </c>
      <c r="D16" s="5" t="s">
        <v>23</v>
      </c>
      <c r="E16" s="5">
        <v>6</v>
      </c>
      <c r="F16" s="5">
        <v>3</v>
      </c>
      <c r="G16" s="5">
        <v>3.6</v>
      </c>
      <c r="H16" s="5" t="s">
        <v>47</v>
      </c>
      <c r="I16" s="5" t="s">
        <v>32</v>
      </c>
      <c r="J16" s="5">
        <v>675.32</v>
      </c>
      <c r="K16" s="5" t="s">
        <v>90</v>
      </c>
      <c r="L16" s="5" t="s">
        <v>23</v>
      </c>
      <c r="M16" s="5" t="s">
        <v>23</v>
      </c>
      <c r="N16" s="5" t="s">
        <v>23</v>
      </c>
      <c r="O16" s="5" t="s">
        <v>37</v>
      </c>
    </row>
    <row r="17" spans="1:15">
      <c r="A17" s="7" t="str">
        <f>HYPERLINK("https://www.analog.com/en/ADIS16475-2#details", "ADIS16475-2")</f>
        <v>ADIS16475-2</v>
      </c>
      <c r="B17" s="5" t="s">
        <v>151</v>
      </c>
      <c r="C17" s="5" t="s">
        <v>144</v>
      </c>
      <c r="D17" s="5" t="s">
        <v>23</v>
      </c>
      <c r="E17" s="5">
        <v>6</v>
      </c>
      <c r="F17" s="5">
        <v>3</v>
      </c>
      <c r="G17" s="5">
        <v>3.6</v>
      </c>
      <c r="H17" s="5" t="s">
        <v>47</v>
      </c>
      <c r="I17" s="5" t="s">
        <v>32</v>
      </c>
      <c r="J17" s="5">
        <v>675.32</v>
      </c>
      <c r="K17" s="5" t="s">
        <v>90</v>
      </c>
      <c r="L17" s="5" t="s">
        <v>23</v>
      </c>
      <c r="M17" s="5" t="s">
        <v>23</v>
      </c>
      <c r="N17" s="5" t="s">
        <v>23</v>
      </c>
      <c r="O17" s="5" t="s">
        <v>37</v>
      </c>
    </row>
    <row r="18" spans="1:15">
      <c r="A18" s="7" t="str">
        <f>HYPERLINK("https://www.analog.com/en/ADIS16475-3#details", "ADIS16475-3")</f>
        <v>ADIS16475-3</v>
      </c>
      <c r="B18" s="5" t="s">
        <v>151</v>
      </c>
      <c r="C18" s="5" t="s">
        <v>144</v>
      </c>
      <c r="D18" s="5" t="s">
        <v>23</v>
      </c>
      <c r="E18" s="5">
        <v>6</v>
      </c>
      <c r="F18" s="5">
        <v>3</v>
      </c>
      <c r="G18" s="5">
        <v>3.6</v>
      </c>
      <c r="H18" s="5" t="s">
        <v>47</v>
      </c>
      <c r="I18" s="5" t="s">
        <v>32</v>
      </c>
      <c r="J18" s="5">
        <v>675.32</v>
      </c>
      <c r="K18" s="5" t="s">
        <v>90</v>
      </c>
      <c r="L18" s="5" t="s">
        <v>23</v>
      </c>
      <c r="M18" s="5" t="s">
        <v>23</v>
      </c>
      <c r="N18" s="5" t="s">
        <v>23</v>
      </c>
      <c r="O18" s="5" t="s">
        <v>37</v>
      </c>
    </row>
    <row r="19" spans="1:15">
      <c r="A19" s="7" t="str">
        <f>HYPERLINK("https://www.analog.com/en/ADIS16477-1#details", "ADIS16477-1")</f>
        <v>ADIS16477-1</v>
      </c>
      <c r="B19" s="5" t="s">
        <v>152</v>
      </c>
      <c r="C19" s="5" t="s">
        <v>144</v>
      </c>
      <c r="D19" s="5" t="s">
        <v>23</v>
      </c>
      <c r="E19" s="5">
        <v>6</v>
      </c>
      <c r="F19" s="5">
        <v>3</v>
      </c>
      <c r="G19" s="5">
        <v>3.6</v>
      </c>
      <c r="H19" s="5" t="s">
        <v>47</v>
      </c>
      <c r="I19" s="5" t="s">
        <v>32</v>
      </c>
      <c r="J19" s="5">
        <v>675.32</v>
      </c>
      <c r="K19" s="5" t="s">
        <v>90</v>
      </c>
      <c r="L19" s="5" t="s">
        <v>23</v>
      </c>
      <c r="M19" s="5" t="s">
        <v>23</v>
      </c>
      <c r="N19" s="5" t="s">
        <v>23</v>
      </c>
      <c r="O19" s="5" t="s">
        <v>37</v>
      </c>
    </row>
    <row r="20" spans="1:15">
      <c r="A20" s="7" t="str">
        <f>HYPERLINK("https://www.analog.com/en/ADIS16477-2#details", "ADIS16477-2")</f>
        <v>ADIS16477-2</v>
      </c>
      <c r="B20" s="5" t="s">
        <v>152</v>
      </c>
      <c r="C20" s="5" t="s">
        <v>144</v>
      </c>
      <c r="D20" s="5" t="s">
        <v>23</v>
      </c>
      <c r="E20" s="5">
        <v>6</v>
      </c>
      <c r="F20" s="5">
        <v>3</v>
      </c>
      <c r="G20" s="5">
        <v>3.6</v>
      </c>
      <c r="H20" s="5" t="s">
        <v>47</v>
      </c>
      <c r="I20" s="5" t="s">
        <v>32</v>
      </c>
      <c r="J20" s="5">
        <v>675.32</v>
      </c>
      <c r="K20" s="5" t="s">
        <v>90</v>
      </c>
      <c r="L20" s="5" t="s">
        <v>23</v>
      </c>
      <c r="M20" s="5" t="s">
        <v>23</v>
      </c>
      <c r="N20" s="5" t="s">
        <v>23</v>
      </c>
      <c r="O20" s="5" t="s">
        <v>37</v>
      </c>
    </row>
    <row r="21" spans="1:15">
      <c r="A21" s="7" t="str">
        <f>HYPERLINK("https://www.analog.com/en/ADIS16477-3#details", "ADIS16477-3")</f>
        <v>ADIS16477-3</v>
      </c>
      <c r="B21" s="5" t="s">
        <v>152</v>
      </c>
      <c r="C21" s="5" t="s">
        <v>144</v>
      </c>
      <c r="D21" s="5" t="s">
        <v>23</v>
      </c>
      <c r="E21" s="5">
        <v>6</v>
      </c>
      <c r="F21" s="5">
        <v>3</v>
      </c>
      <c r="G21" s="5">
        <v>3.6</v>
      </c>
      <c r="H21" s="5" t="s">
        <v>47</v>
      </c>
      <c r="I21" s="5" t="s">
        <v>32</v>
      </c>
      <c r="J21" s="5">
        <v>675.32</v>
      </c>
      <c r="K21" s="5" t="s">
        <v>90</v>
      </c>
      <c r="L21" s="5" t="s">
        <v>23</v>
      </c>
      <c r="M21" s="5" t="s">
        <v>23</v>
      </c>
      <c r="N21" s="5" t="s">
        <v>23</v>
      </c>
      <c r="O21" s="5" t="s">
        <v>37</v>
      </c>
    </row>
    <row r="22" spans="1:15">
      <c r="A22" s="7" t="str">
        <f>HYPERLINK("https://www.analog.com/en/ADIS16446#details", "ADIS16446")</f>
        <v>ADIS16446</v>
      </c>
      <c r="B22" s="5" t="s">
        <v>149</v>
      </c>
      <c r="C22" s="5" t="s">
        <v>144</v>
      </c>
      <c r="D22" s="5" t="s">
        <v>43</v>
      </c>
      <c r="E22" s="5">
        <v>6</v>
      </c>
      <c r="F22" s="5">
        <v>3.15</v>
      </c>
      <c r="G22" s="5">
        <v>3.45</v>
      </c>
      <c r="H22" s="5" t="s">
        <v>69</v>
      </c>
      <c r="I22" s="5" t="s">
        <v>32</v>
      </c>
      <c r="J22" s="5">
        <v>683.84</v>
      </c>
      <c r="K22" s="5" t="s">
        <v>71</v>
      </c>
      <c r="L22" s="5">
        <v>910.45500000000004</v>
      </c>
      <c r="M22" s="5">
        <v>10.8</v>
      </c>
      <c r="N22" s="5">
        <v>0</v>
      </c>
      <c r="O22" s="5" t="s">
        <v>37</v>
      </c>
    </row>
    <row r="23" spans="1:15">
      <c r="A23" s="7" t="str">
        <f>HYPERLINK("https://www.analog.com/en/ADIS16501#details", "ADIS16501")</f>
        <v>ADIS16501</v>
      </c>
      <c r="B23" s="5" t="s">
        <v>147</v>
      </c>
      <c r="C23" s="5" t="s">
        <v>144</v>
      </c>
      <c r="D23" s="5" t="s">
        <v>43</v>
      </c>
      <c r="E23" s="5">
        <v>6</v>
      </c>
      <c r="F23" s="5">
        <v>3</v>
      </c>
      <c r="G23" s="5">
        <v>3.6</v>
      </c>
      <c r="H23" s="5" t="s">
        <v>23</v>
      </c>
      <c r="I23" s="5" t="s">
        <v>32</v>
      </c>
      <c r="J23" s="5">
        <v>687.63</v>
      </c>
      <c r="K23" s="5" t="s">
        <v>34</v>
      </c>
      <c r="L23" s="5">
        <v>225</v>
      </c>
      <c r="M23" s="5">
        <v>5.72</v>
      </c>
      <c r="N23" s="5">
        <v>386</v>
      </c>
      <c r="O23" s="5" t="s">
        <v>37</v>
      </c>
    </row>
    <row r="24" spans="1:15" hidden="1">
      <c r="A24" s="7" t="str">
        <f>HYPERLINK("https://www.analog.com/en/ADIS16362#details", "ADIS16362")</f>
        <v>ADIS16362</v>
      </c>
      <c r="B24" s="5" t="s">
        <v>74</v>
      </c>
      <c r="C24" s="5" t="s">
        <v>144</v>
      </c>
      <c r="D24" s="5" t="s">
        <v>43</v>
      </c>
      <c r="E24" s="5">
        <v>6</v>
      </c>
      <c r="F24" s="5">
        <v>4.75</v>
      </c>
      <c r="G24" s="5">
        <v>5.25</v>
      </c>
      <c r="H24" s="5" t="s">
        <v>23</v>
      </c>
      <c r="I24" s="5" t="s">
        <v>32</v>
      </c>
      <c r="J24" s="5">
        <v>699.52</v>
      </c>
      <c r="K24" s="5" t="s">
        <v>55</v>
      </c>
      <c r="L24" s="5">
        <v>532.76480000000004</v>
      </c>
      <c r="M24" s="5">
        <v>23.504000000000001</v>
      </c>
      <c r="N24" s="5">
        <v>370</v>
      </c>
      <c r="O24" s="5" t="s">
        <v>108</v>
      </c>
    </row>
    <row r="25" spans="1:15" hidden="1">
      <c r="A25" s="7" t="str">
        <f>HYPERLINK("https://www.analog.com/en/ADIS16364#details", "ADIS16364")</f>
        <v>ADIS16364</v>
      </c>
      <c r="B25" s="5" t="s">
        <v>74</v>
      </c>
      <c r="C25" s="5" t="s">
        <v>144</v>
      </c>
      <c r="D25" s="5" t="s">
        <v>43</v>
      </c>
      <c r="E25" s="5">
        <v>6</v>
      </c>
      <c r="F25" s="5">
        <v>4.75</v>
      </c>
      <c r="G25" s="5">
        <v>5.25</v>
      </c>
      <c r="H25" s="5" t="s">
        <v>23</v>
      </c>
      <c r="I25" s="5" t="s">
        <v>32</v>
      </c>
      <c r="J25" s="5">
        <v>699.52</v>
      </c>
      <c r="K25" s="5" t="s">
        <v>55</v>
      </c>
      <c r="L25" s="5">
        <v>532.76480000000004</v>
      </c>
      <c r="M25" s="5">
        <v>23.504000000000001</v>
      </c>
      <c r="N25" s="5">
        <v>234</v>
      </c>
      <c r="O25" s="5" t="s">
        <v>108</v>
      </c>
    </row>
    <row r="26" spans="1:15" hidden="1">
      <c r="A26" s="7" t="str">
        <f>HYPERLINK("https://www.analog.com/en/ADIS16365#details", "ADIS16365")</f>
        <v>ADIS16365</v>
      </c>
      <c r="B26" s="5" t="s">
        <v>74</v>
      </c>
      <c r="C26" s="5" t="s">
        <v>144</v>
      </c>
      <c r="D26" s="5" t="s">
        <v>43</v>
      </c>
      <c r="E26" s="5">
        <v>6</v>
      </c>
      <c r="F26" s="5">
        <v>4.75</v>
      </c>
      <c r="G26" s="5">
        <v>5.25</v>
      </c>
      <c r="H26" s="5" t="s">
        <v>23</v>
      </c>
      <c r="I26" s="5" t="s">
        <v>32</v>
      </c>
      <c r="J26" s="5">
        <v>780.73</v>
      </c>
      <c r="K26" s="5" t="s">
        <v>55</v>
      </c>
      <c r="L26" s="5">
        <v>532.76480000000004</v>
      </c>
      <c r="M26" s="5">
        <v>23.504000000000001</v>
      </c>
      <c r="N26" s="5">
        <v>0</v>
      </c>
      <c r="O26" s="5" t="s">
        <v>108</v>
      </c>
    </row>
    <row r="27" spans="1:15">
      <c r="A27" s="7" t="str">
        <f>HYPERLINK("https://www.analog.com/en/ADIS16467-1#details", "ADIS16467-1")</f>
        <v>ADIS16467-1</v>
      </c>
      <c r="B27" s="5" t="s">
        <v>42</v>
      </c>
      <c r="C27" s="5" t="s">
        <v>144</v>
      </c>
      <c r="D27" s="5" t="s">
        <v>23</v>
      </c>
      <c r="E27" s="5">
        <v>6</v>
      </c>
      <c r="F27" s="5">
        <v>3</v>
      </c>
      <c r="G27" s="5">
        <v>3.6</v>
      </c>
      <c r="H27" s="5" t="s">
        <v>85</v>
      </c>
      <c r="I27" s="5" t="s">
        <v>32</v>
      </c>
      <c r="J27" s="5">
        <v>807.42</v>
      </c>
      <c r="K27" s="5" t="s">
        <v>45</v>
      </c>
      <c r="L27" s="5" t="s">
        <v>23</v>
      </c>
      <c r="M27" s="5" t="s">
        <v>23</v>
      </c>
      <c r="N27" s="5" t="s">
        <v>23</v>
      </c>
      <c r="O27" s="5" t="s">
        <v>37</v>
      </c>
    </row>
    <row r="28" spans="1:15">
      <c r="A28" s="7" t="str">
        <f>HYPERLINK("https://www.analog.com/en/ADIS16467-2#details", "ADIS16467-2")</f>
        <v>ADIS16467-2</v>
      </c>
      <c r="B28" s="5" t="s">
        <v>42</v>
      </c>
      <c r="C28" s="5" t="s">
        <v>144</v>
      </c>
      <c r="D28" s="5" t="s">
        <v>23</v>
      </c>
      <c r="E28" s="5">
        <v>6</v>
      </c>
      <c r="F28" s="5">
        <v>3</v>
      </c>
      <c r="G28" s="5">
        <v>3.6</v>
      </c>
      <c r="H28" s="5" t="s">
        <v>85</v>
      </c>
      <c r="I28" s="5" t="s">
        <v>32</v>
      </c>
      <c r="J28" s="5">
        <v>807.42</v>
      </c>
      <c r="K28" s="5" t="s">
        <v>45</v>
      </c>
      <c r="L28" s="5" t="s">
        <v>23</v>
      </c>
      <c r="M28" s="5" t="s">
        <v>23</v>
      </c>
      <c r="N28" s="5" t="s">
        <v>23</v>
      </c>
      <c r="O28" s="5" t="s">
        <v>37</v>
      </c>
    </row>
    <row r="29" spans="1:15">
      <c r="A29" s="7" t="str">
        <f>HYPERLINK("https://www.analog.com/en/ADIS16467-3#details", "ADIS16467-3")</f>
        <v>ADIS16467-3</v>
      </c>
      <c r="B29" s="5" t="s">
        <v>42</v>
      </c>
      <c r="C29" s="5" t="s">
        <v>144</v>
      </c>
      <c r="D29" s="5" t="s">
        <v>23</v>
      </c>
      <c r="E29" s="5">
        <v>6</v>
      </c>
      <c r="F29" s="5">
        <v>3</v>
      </c>
      <c r="G29" s="5">
        <v>3.6</v>
      </c>
      <c r="H29" s="5" t="s">
        <v>85</v>
      </c>
      <c r="I29" s="5" t="s">
        <v>32</v>
      </c>
      <c r="J29" s="5">
        <v>807.42</v>
      </c>
      <c r="K29" s="5" t="s">
        <v>45</v>
      </c>
      <c r="L29" s="5" t="s">
        <v>23</v>
      </c>
      <c r="M29" s="5" t="s">
        <v>23</v>
      </c>
      <c r="N29" s="5" t="s">
        <v>23</v>
      </c>
      <c r="O29" s="5" t="s">
        <v>37</v>
      </c>
    </row>
    <row r="30" spans="1:15">
      <c r="A30" s="7" t="str">
        <f>HYPERLINK("https://www.analog.com/en/ADIS16375#details", "ADIS16375")</f>
        <v>ADIS16375</v>
      </c>
      <c r="B30" s="5" t="s">
        <v>162</v>
      </c>
      <c r="C30" s="5" t="s">
        <v>144</v>
      </c>
      <c r="D30" s="5" t="s">
        <v>43</v>
      </c>
      <c r="E30" s="5">
        <v>6</v>
      </c>
      <c r="F30" s="5">
        <v>3</v>
      </c>
      <c r="G30" s="5">
        <v>3.6</v>
      </c>
      <c r="H30" s="5" t="s">
        <v>85</v>
      </c>
      <c r="I30" s="5" t="s">
        <v>32</v>
      </c>
      <c r="J30" s="5">
        <v>1389.61</v>
      </c>
      <c r="K30" s="5" t="s">
        <v>76</v>
      </c>
      <c r="L30" s="5" t="s">
        <v>23</v>
      </c>
      <c r="M30" s="5" t="s">
        <v>23</v>
      </c>
      <c r="N30" s="5">
        <v>75</v>
      </c>
      <c r="O30" s="5" t="s">
        <v>37</v>
      </c>
    </row>
    <row r="31" spans="1:15" hidden="1">
      <c r="A31" s="7" t="str">
        <f>HYPERLINK("https://www.analog.com/en/ADIS16488A#details", "ADIS16488A")</f>
        <v>ADIS16488A</v>
      </c>
      <c r="B31" s="5" t="s">
        <v>156</v>
      </c>
      <c r="C31" s="5" t="s">
        <v>157</v>
      </c>
      <c r="D31" s="5" t="s">
        <v>43</v>
      </c>
      <c r="E31" s="5">
        <v>10</v>
      </c>
      <c r="F31" s="5">
        <v>3</v>
      </c>
      <c r="G31" s="5">
        <v>3.6</v>
      </c>
      <c r="H31" s="5" t="s">
        <v>111</v>
      </c>
      <c r="I31" s="5" t="s">
        <v>32</v>
      </c>
      <c r="J31" s="5">
        <v>2156.2600000000002</v>
      </c>
      <c r="K31" s="5" t="s">
        <v>76</v>
      </c>
      <c r="L31" s="5" t="s">
        <v>23</v>
      </c>
      <c r="M31" s="5" t="s">
        <v>23</v>
      </c>
      <c r="N31" s="5">
        <v>0</v>
      </c>
      <c r="O31" s="5" t="s">
        <v>108</v>
      </c>
    </row>
    <row r="32" spans="1:15">
      <c r="A32" s="7" t="str">
        <f>HYPERLINK("https://www.analog.com/en/ADIS16495-1#details", "ADIS16495-1")</f>
        <v>ADIS16495-1</v>
      </c>
      <c r="B32" s="5" t="s">
        <v>153</v>
      </c>
      <c r="C32" s="5" t="s">
        <v>144</v>
      </c>
      <c r="D32" s="5" t="s">
        <v>23</v>
      </c>
      <c r="E32" s="5">
        <v>6</v>
      </c>
      <c r="F32" s="5">
        <v>3</v>
      </c>
      <c r="G32" s="5">
        <v>3.6</v>
      </c>
      <c r="H32" s="5" t="s">
        <v>85</v>
      </c>
      <c r="I32" s="5" t="s">
        <v>32</v>
      </c>
      <c r="J32" s="5">
        <v>2521.17</v>
      </c>
      <c r="K32" s="5" t="s">
        <v>55</v>
      </c>
      <c r="L32" s="5">
        <v>2068</v>
      </c>
      <c r="M32" s="5">
        <v>14</v>
      </c>
      <c r="N32" s="5" t="s">
        <v>23</v>
      </c>
      <c r="O32" s="5" t="s">
        <v>37</v>
      </c>
    </row>
    <row r="33" spans="1:15">
      <c r="A33" s="7" t="str">
        <f>HYPERLINK("https://www.analog.com/en/ADIS16495-2#details", "ADIS16495-2")</f>
        <v>ADIS16495-2</v>
      </c>
      <c r="B33" s="5" t="s">
        <v>153</v>
      </c>
      <c r="C33" s="5" t="s">
        <v>144</v>
      </c>
      <c r="D33" s="5" t="s">
        <v>23</v>
      </c>
      <c r="E33" s="5">
        <v>6</v>
      </c>
      <c r="F33" s="5">
        <v>3</v>
      </c>
      <c r="G33" s="5">
        <v>3.6</v>
      </c>
      <c r="H33" s="5" t="s">
        <v>85</v>
      </c>
      <c r="I33" s="5" t="s">
        <v>32</v>
      </c>
      <c r="J33" s="5">
        <v>2521.17</v>
      </c>
      <c r="K33" s="5" t="s">
        <v>55</v>
      </c>
      <c r="L33" s="5">
        <v>2068</v>
      </c>
      <c r="M33" s="5">
        <v>14</v>
      </c>
      <c r="N33" s="5" t="s">
        <v>23</v>
      </c>
      <c r="O33" s="5" t="s">
        <v>37</v>
      </c>
    </row>
    <row r="34" spans="1:15">
      <c r="A34" s="7" t="str">
        <f>HYPERLINK("https://www.analog.com/en/ADIS16495-3#details", "ADIS16495-3")</f>
        <v>ADIS16495-3</v>
      </c>
      <c r="B34" s="5" t="s">
        <v>153</v>
      </c>
      <c r="C34" s="5" t="s">
        <v>144</v>
      </c>
      <c r="D34" s="5" t="s">
        <v>23</v>
      </c>
      <c r="E34" s="5">
        <v>6</v>
      </c>
      <c r="F34" s="5">
        <v>3</v>
      </c>
      <c r="G34" s="5">
        <v>3.6</v>
      </c>
      <c r="H34" s="5" t="s">
        <v>85</v>
      </c>
      <c r="I34" s="5" t="s">
        <v>32</v>
      </c>
      <c r="J34" s="5">
        <v>2521.17</v>
      </c>
      <c r="K34" s="5" t="s">
        <v>55</v>
      </c>
      <c r="L34" s="5">
        <v>2068</v>
      </c>
      <c r="M34" s="5">
        <v>14</v>
      </c>
      <c r="N34" s="5" t="s">
        <v>23</v>
      </c>
      <c r="O34" s="5" t="s">
        <v>37</v>
      </c>
    </row>
    <row r="35" spans="1:15">
      <c r="A35" s="7" t="str">
        <f>HYPERLINK("https://www.analog.com/en/ADIS16497-1#details", "ADIS16497-1")</f>
        <v>ADIS16497-1</v>
      </c>
      <c r="B35" s="5" t="s">
        <v>153</v>
      </c>
      <c r="C35" s="5" t="s">
        <v>144</v>
      </c>
      <c r="D35" s="5" t="s">
        <v>23</v>
      </c>
      <c r="E35" s="5">
        <v>6</v>
      </c>
      <c r="F35" s="5">
        <v>3</v>
      </c>
      <c r="G35" s="5">
        <v>3.6</v>
      </c>
      <c r="H35" s="5" t="s">
        <v>85</v>
      </c>
      <c r="I35" s="5" t="s">
        <v>32</v>
      </c>
      <c r="J35" s="5">
        <v>2753</v>
      </c>
      <c r="K35" s="5" t="s">
        <v>55</v>
      </c>
      <c r="L35" s="5">
        <v>2068</v>
      </c>
      <c r="M35" s="5">
        <v>14</v>
      </c>
      <c r="N35" s="5" t="s">
        <v>23</v>
      </c>
      <c r="O35" s="5" t="s">
        <v>37</v>
      </c>
    </row>
    <row r="36" spans="1:15">
      <c r="A36" s="7" t="str">
        <f>HYPERLINK("https://www.analog.com/en/ADIS16497-2#details", "ADIS16497-2")</f>
        <v>ADIS16497-2</v>
      </c>
      <c r="B36" s="5" t="s">
        <v>153</v>
      </c>
      <c r="C36" s="5" t="s">
        <v>144</v>
      </c>
      <c r="D36" s="5" t="s">
        <v>23</v>
      </c>
      <c r="E36" s="5">
        <v>6</v>
      </c>
      <c r="F36" s="5">
        <v>3</v>
      </c>
      <c r="G36" s="5">
        <v>3.6</v>
      </c>
      <c r="H36" s="5" t="s">
        <v>85</v>
      </c>
      <c r="I36" s="5" t="s">
        <v>32</v>
      </c>
      <c r="J36" s="5">
        <v>2753</v>
      </c>
      <c r="K36" s="5" t="s">
        <v>55</v>
      </c>
      <c r="L36" s="5">
        <v>2068</v>
      </c>
      <c r="M36" s="5">
        <v>14</v>
      </c>
      <c r="N36" s="5" t="s">
        <v>23</v>
      </c>
      <c r="O36" s="5" t="s">
        <v>37</v>
      </c>
    </row>
    <row r="37" spans="1:15">
      <c r="A37" s="7" t="str">
        <f>HYPERLINK("https://www.analog.com/en/ADIS16497-3#details", "ADIS16497-3")</f>
        <v>ADIS16497-3</v>
      </c>
      <c r="B37" s="5" t="s">
        <v>153</v>
      </c>
      <c r="C37" s="5" t="s">
        <v>144</v>
      </c>
      <c r="D37" s="5" t="s">
        <v>23</v>
      </c>
      <c r="E37" s="5">
        <v>6</v>
      </c>
      <c r="F37" s="5">
        <v>3</v>
      </c>
      <c r="G37" s="5">
        <v>3.6</v>
      </c>
      <c r="H37" s="5" t="s">
        <v>85</v>
      </c>
      <c r="I37" s="5" t="s">
        <v>32</v>
      </c>
      <c r="J37" s="5">
        <v>2753</v>
      </c>
      <c r="K37" s="5" t="s">
        <v>55</v>
      </c>
      <c r="L37" s="5">
        <v>2068</v>
      </c>
      <c r="M37" s="5">
        <v>14</v>
      </c>
      <c r="N37" s="5" t="s">
        <v>23</v>
      </c>
      <c r="O37" s="5" t="s">
        <v>37</v>
      </c>
    </row>
    <row r="38" spans="1:15">
      <c r="A38" s="7" t="str">
        <f>HYPERLINK("https://www.analog.com/en/ADIS16489#details", "ADIS16489")</f>
        <v>ADIS16489</v>
      </c>
      <c r="B38" s="5" t="s">
        <v>109</v>
      </c>
      <c r="C38" s="5" t="s">
        <v>155</v>
      </c>
      <c r="D38" s="5" t="s">
        <v>43</v>
      </c>
      <c r="E38" s="5">
        <v>7</v>
      </c>
      <c r="F38" s="5">
        <v>3</v>
      </c>
      <c r="G38" s="5">
        <v>3.6</v>
      </c>
      <c r="H38" s="5" t="s">
        <v>111</v>
      </c>
      <c r="I38" s="5" t="s">
        <v>32</v>
      </c>
      <c r="J38" s="5">
        <v>2882.47</v>
      </c>
      <c r="K38" s="5" t="s">
        <v>76</v>
      </c>
      <c r="L38" s="5" t="s">
        <v>23</v>
      </c>
      <c r="M38" s="5" t="s">
        <v>23</v>
      </c>
      <c r="N38" s="5">
        <v>31</v>
      </c>
      <c r="O38" s="5" t="s">
        <v>37</v>
      </c>
    </row>
    <row r="39" spans="1:15">
      <c r="A39" s="7" t="str">
        <f>HYPERLINK("https://www.analog.com/en/ADIS16480#details", "ADIS16480")</f>
        <v>ADIS16480</v>
      </c>
      <c r="B39" s="5" t="s">
        <v>125</v>
      </c>
      <c r="C39" s="5" t="s">
        <v>157</v>
      </c>
      <c r="D39" s="5" t="s">
        <v>43</v>
      </c>
      <c r="E39" s="5">
        <v>10</v>
      </c>
      <c r="F39" s="5">
        <v>3</v>
      </c>
      <c r="G39" s="5">
        <v>3.6</v>
      </c>
      <c r="H39" s="5" t="s">
        <v>158</v>
      </c>
      <c r="I39" s="5" t="s">
        <v>32</v>
      </c>
      <c r="J39" s="5">
        <v>2891.89</v>
      </c>
      <c r="K39" s="5" t="s">
        <v>76</v>
      </c>
      <c r="L39" s="5" t="s">
        <v>23</v>
      </c>
      <c r="M39" s="5" t="s">
        <v>23</v>
      </c>
      <c r="N39" s="5">
        <v>0</v>
      </c>
      <c r="O39" s="5" t="s">
        <v>37</v>
      </c>
    </row>
    <row r="40" spans="1:15" hidden="1">
      <c r="A40" s="7" t="str">
        <f>HYPERLINK("https://www.analog.com/en/ADIS16490#details", "ADIS16490")</f>
        <v>ADIS16490</v>
      </c>
      <c r="B40" s="5" t="s">
        <v>153</v>
      </c>
      <c r="C40" s="5" t="s">
        <v>144</v>
      </c>
      <c r="D40" s="5" t="s">
        <v>43</v>
      </c>
      <c r="E40" s="5">
        <v>6</v>
      </c>
      <c r="F40" s="5">
        <v>3</v>
      </c>
      <c r="G40" s="5">
        <v>3.6</v>
      </c>
      <c r="H40" s="5" t="s">
        <v>85</v>
      </c>
      <c r="I40" s="5" t="s">
        <v>32</v>
      </c>
      <c r="J40" s="5">
        <v>2980.16</v>
      </c>
      <c r="K40" s="5" t="s">
        <v>55</v>
      </c>
      <c r="L40" s="5">
        <v>2068</v>
      </c>
      <c r="M40" s="5">
        <v>14</v>
      </c>
      <c r="N40" s="5">
        <v>1</v>
      </c>
      <c r="O40" s="5" t="s">
        <v>119</v>
      </c>
    </row>
    <row r="41" spans="1:15">
      <c r="A41" s="7" t="str">
        <f>HYPERLINK("https://www.analog.com/en/ADIS16545#details", "ADIS16545")</f>
        <v>ADIS16545</v>
      </c>
      <c r="B41" s="5" t="s">
        <v>148</v>
      </c>
      <c r="C41" s="5" t="s">
        <v>144</v>
      </c>
      <c r="D41" s="5" t="s">
        <v>43</v>
      </c>
      <c r="E41" s="5">
        <v>6</v>
      </c>
      <c r="F41" s="5">
        <v>3</v>
      </c>
      <c r="G41" s="5">
        <v>3.6</v>
      </c>
      <c r="H41" s="5" t="s">
        <v>23</v>
      </c>
      <c r="I41" s="5" t="s">
        <v>32</v>
      </c>
      <c r="J41" s="5">
        <v>3042.07</v>
      </c>
      <c r="K41" s="5" t="s">
        <v>55</v>
      </c>
      <c r="L41" s="5">
        <v>2068</v>
      </c>
      <c r="M41" s="5">
        <v>14</v>
      </c>
      <c r="N41" s="5">
        <v>10</v>
      </c>
      <c r="O41" s="5" t="s">
        <v>37</v>
      </c>
    </row>
    <row r="42" spans="1:15">
      <c r="A42" s="7" t="str">
        <f>HYPERLINK("https://www.analog.com/en/ADIS16547#details", "ADIS16547")</f>
        <v>ADIS16547</v>
      </c>
      <c r="B42" s="5" t="s">
        <v>148</v>
      </c>
      <c r="C42" s="5" t="s">
        <v>144</v>
      </c>
      <c r="D42" s="5" t="s">
        <v>43</v>
      </c>
      <c r="E42" s="5">
        <v>6</v>
      </c>
      <c r="F42" s="5">
        <v>3</v>
      </c>
      <c r="G42" s="5">
        <v>3.6</v>
      </c>
      <c r="H42" s="5" t="s">
        <v>23</v>
      </c>
      <c r="I42" s="5" t="s">
        <v>32</v>
      </c>
      <c r="J42" s="5">
        <v>3042.07</v>
      </c>
      <c r="K42" s="5" t="s">
        <v>55</v>
      </c>
      <c r="L42" s="5">
        <v>2068</v>
      </c>
      <c r="M42" s="5">
        <v>14</v>
      </c>
      <c r="N42" s="5">
        <v>0</v>
      </c>
      <c r="O42" s="5" t="s">
        <v>37</v>
      </c>
    </row>
    <row r="43" spans="1:15">
      <c r="A43" s="7" t="str">
        <f>HYPERLINK("https://www.analog.com/en/ADIS16550#details", "ADIS16550")</f>
        <v>ADIS16550</v>
      </c>
      <c r="B43" s="5" t="s">
        <v>146</v>
      </c>
      <c r="C43" s="5" t="s">
        <v>144</v>
      </c>
      <c r="D43" s="5" t="s">
        <v>43</v>
      </c>
      <c r="E43" s="5">
        <v>6</v>
      </c>
      <c r="F43" s="5">
        <v>4.75</v>
      </c>
      <c r="G43" s="5">
        <v>5.25</v>
      </c>
      <c r="H43" s="5" t="s">
        <v>23</v>
      </c>
      <c r="I43" s="5" t="s">
        <v>32</v>
      </c>
      <c r="J43" s="5">
        <v>3500</v>
      </c>
      <c r="K43" s="5" t="s">
        <v>55</v>
      </c>
      <c r="L43" s="5">
        <v>532.76480000000004</v>
      </c>
      <c r="M43" s="5">
        <v>23.504000000000001</v>
      </c>
      <c r="N43" s="5">
        <v>49</v>
      </c>
      <c r="O43" s="5" t="s">
        <v>37</v>
      </c>
    </row>
    <row r="44" spans="1:15">
      <c r="A44" s="7" t="str">
        <f>HYPERLINK("https://www.analog.com/en/ADIS17555#details", "ADIS17555")</f>
        <v>ADIS17555</v>
      </c>
      <c r="B44" s="5" t="s">
        <v>146</v>
      </c>
      <c r="C44" s="5" t="s">
        <v>23</v>
      </c>
      <c r="D44" s="5" t="s">
        <v>23</v>
      </c>
      <c r="E44" s="5" t="s">
        <v>23</v>
      </c>
      <c r="F44" s="5" t="s">
        <v>23</v>
      </c>
      <c r="G44" s="5" t="s">
        <v>23</v>
      </c>
      <c r="H44" s="5" t="s">
        <v>23</v>
      </c>
      <c r="I44" s="5" t="s">
        <v>32</v>
      </c>
      <c r="J44" s="5" t="s">
        <v>23</v>
      </c>
      <c r="K44" s="5" t="s">
        <v>39</v>
      </c>
      <c r="L44" s="5">
        <v>2068</v>
      </c>
      <c r="M44" s="5">
        <v>15.4</v>
      </c>
      <c r="N44" s="5">
        <v>0</v>
      </c>
      <c r="O44" s="5" t="s">
        <v>37</v>
      </c>
    </row>
    <row r="45" spans="1:15">
      <c r="A45" s="7" t="str">
        <f>HYPERLINK("https://www.analog.com/en/ADIS16486#details", "ADIS16486")</f>
        <v>ADIS16486</v>
      </c>
      <c r="B45" s="5" t="s">
        <v>74</v>
      </c>
      <c r="C45" s="5" t="s">
        <v>144</v>
      </c>
      <c r="D45" s="5" t="s">
        <v>43</v>
      </c>
      <c r="E45" s="5">
        <v>6</v>
      </c>
      <c r="F45" s="5">
        <v>3</v>
      </c>
      <c r="G45" s="5">
        <v>3.6</v>
      </c>
      <c r="H45" s="5" t="s">
        <v>75</v>
      </c>
      <c r="I45" s="5" t="s">
        <v>32</v>
      </c>
      <c r="J45" s="5" t="s">
        <v>23</v>
      </c>
      <c r="K45" s="5" t="s">
        <v>76</v>
      </c>
      <c r="L45" s="5" t="s">
        <v>23</v>
      </c>
      <c r="M45" s="5" t="s">
        <v>23</v>
      </c>
      <c r="N45" s="5">
        <v>0</v>
      </c>
      <c r="O45" s="5" t="s">
        <v>37</v>
      </c>
    </row>
    <row r="46" spans="1:15" hidden="1">
      <c r="A46" s="7" t="str">
        <f>HYPERLINK("https://www.analog.com/en/ADXC1501#details", "ADXC1501")</f>
        <v>ADXC1501</v>
      </c>
      <c r="B46" s="5" t="s">
        <v>102</v>
      </c>
      <c r="C46" s="5" t="s">
        <v>144</v>
      </c>
      <c r="D46" s="5" t="s">
        <v>43</v>
      </c>
      <c r="E46" s="5">
        <v>4</v>
      </c>
      <c r="F46" s="5">
        <v>3.3</v>
      </c>
      <c r="G46" s="5">
        <v>5</v>
      </c>
      <c r="H46" s="5" t="s">
        <v>23</v>
      </c>
      <c r="I46" s="5" t="s">
        <v>32</v>
      </c>
      <c r="J46" s="5" t="s">
        <v>23</v>
      </c>
      <c r="K46" s="5" t="s">
        <v>105</v>
      </c>
      <c r="L46" s="5">
        <v>107.32599999999999</v>
      </c>
      <c r="M46" s="5">
        <v>3.58</v>
      </c>
      <c r="N46" s="5">
        <v>0</v>
      </c>
      <c r="O46" s="5" t="s">
        <v>108</v>
      </c>
    </row>
    <row r="47" spans="1:15" hidden="1">
      <c r="A47" s="7" t="str">
        <f>HYPERLINK("https://www.analog.com/en/ADXC1500#details", "ADXC1500")</f>
        <v>ADXC1500</v>
      </c>
      <c r="B47" s="5" t="s">
        <v>113</v>
      </c>
      <c r="C47" s="5" t="s">
        <v>144</v>
      </c>
      <c r="D47" s="5" t="s">
        <v>43</v>
      </c>
      <c r="E47" s="5">
        <v>3</v>
      </c>
      <c r="F47" s="5">
        <v>3.3</v>
      </c>
      <c r="G47" s="5">
        <v>5</v>
      </c>
      <c r="H47" s="5" t="s">
        <v>23</v>
      </c>
      <c r="I47" s="5" t="s">
        <v>32</v>
      </c>
      <c r="J47" s="5" t="s">
        <v>23</v>
      </c>
      <c r="K47" s="5" t="s">
        <v>105</v>
      </c>
      <c r="L47" s="5">
        <v>107.32599999999999</v>
      </c>
      <c r="M47" s="5">
        <v>3.58</v>
      </c>
      <c r="N47" s="5">
        <v>0</v>
      </c>
      <c r="O47" s="5" t="s">
        <v>108</v>
      </c>
    </row>
    <row r="48" spans="1:15">
      <c r="A48" s="7" t="str">
        <f>HYPERLINK("https://www.analog.com/en/ADIS16445#details", "ADIS16445")</f>
        <v>ADIS16445</v>
      </c>
      <c r="B48" s="5" t="s">
        <v>149</v>
      </c>
      <c r="C48" s="5" t="s">
        <v>144</v>
      </c>
      <c r="D48" s="5" t="s">
        <v>43</v>
      </c>
      <c r="E48" s="5">
        <v>6</v>
      </c>
      <c r="F48" s="5">
        <v>3.15</v>
      </c>
      <c r="G48" s="5">
        <v>3.45</v>
      </c>
      <c r="H48" s="5" t="s">
        <v>85</v>
      </c>
      <c r="I48" s="5" t="s">
        <v>32</v>
      </c>
      <c r="J48" s="5" t="s">
        <v>23</v>
      </c>
      <c r="K48" s="5" t="s">
        <v>71</v>
      </c>
      <c r="L48" s="5">
        <v>910.45500000000004</v>
      </c>
      <c r="M48" s="5">
        <v>10.8</v>
      </c>
      <c r="N48" s="5">
        <v>0</v>
      </c>
      <c r="O48" s="5" t="s">
        <v>37</v>
      </c>
    </row>
    <row r="49" spans="1:15">
      <c r="A49" s="7" t="str">
        <f>HYPERLINK("https://www.analog.com/en/ADIS16485#details", "ADIS16485")</f>
        <v>ADIS16485</v>
      </c>
      <c r="B49" s="5" t="s">
        <v>128</v>
      </c>
      <c r="C49" s="5" t="s">
        <v>144</v>
      </c>
      <c r="D49" s="5" t="s">
        <v>43</v>
      </c>
      <c r="E49" s="5">
        <v>6</v>
      </c>
      <c r="F49" s="5">
        <v>3</v>
      </c>
      <c r="G49" s="5">
        <v>3.6</v>
      </c>
      <c r="H49" s="5" t="s">
        <v>85</v>
      </c>
      <c r="I49" s="5" t="s">
        <v>32</v>
      </c>
      <c r="J49" s="5" t="s">
        <v>23</v>
      </c>
      <c r="K49" s="5" t="s">
        <v>76</v>
      </c>
      <c r="L49" s="5" t="s">
        <v>23</v>
      </c>
      <c r="M49" s="5" t="s">
        <v>23</v>
      </c>
      <c r="N49" s="5">
        <v>0</v>
      </c>
      <c r="O49" s="5" t="s">
        <v>37</v>
      </c>
    </row>
    <row r="50" spans="1:15" hidden="1">
      <c r="A50" s="7" t="str">
        <f>HYPERLINK("https://www.analog.com/en/ADIS16448#details", "ADIS16448")</f>
        <v>ADIS16448</v>
      </c>
      <c r="B50" s="5" t="s">
        <v>159</v>
      </c>
      <c r="C50" s="5" t="s">
        <v>160</v>
      </c>
      <c r="D50" s="5" t="s">
        <v>23</v>
      </c>
      <c r="E50" s="5">
        <v>10</v>
      </c>
      <c r="F50" s="5">
        <v>3.15</v>
      </c>
      <c r="G50" s="5">
        <v>3.45</v>
      </c>
      <c r="H50" s="5" t="s">
        <v>158</v>
      </c>
      <c r="I50" s="5" t="s">
        <v>23</v>
      </c>
      <c r="J50" s="5" t="s">
        <v>23</v>
      </c>
      <c r="K50" s="5" t="s">
        <v>23</v>
      </c>
      <c r="L50" s="5" t="s">
        <v>23</v>
      </c>
      <c r="M50" s="5" t="s">
        <v>23</v>
      </c>
      <c r="N50" s="5">
        <v>0</v>
      </c>
      <c r="O50" s="5" t="s">
        <v>131</v>
      </c>
    </row>
    <row r="51" spans="1:15">
      <c r="A51" s="7" t="str">
        <f>HYPERLINK("https://www.analog.com/en/ADIS16334#details", "ADIS16334")</f>
        <v>ADIS16334</v>
      </c>
      <c r="B51" s="5" t="s">
        <v>161</v>
      </c>
      <c r="C51" s="5" t="s">
        <v>144</v>
      </c>
      <c r="D51" s="5" t="s">
        <v>43</v>
      </c>
      <c r="E51" s="5">
        <v>6</v>
      </c>
      <c r="F51" s="5">
        <v>4.75</v>
      </c>
      <c r="G51" s="5">
        <v>5.25</v>
      </c>
      <c r="H51" s="5" t="s">
        <v>85</v>
      </c>
      <c r="I51" s="5" t="s">
        <v>23</v>
      </c>
      <c r="J51" s="5" t="s">
        <v>23</v>
      </c>
      <c r="K51" s="5" t="s">
        <v>23</v>
      </c>
      <c r="L51" s="5" t="s">
        <v>23</v>
      </c>
      <c r="M51" s="5" t="s">
        <v>23</v>
      </c>
      <c r="N51" s="5">
        <v>0</v>
      </c>
      <c r="O51" s="5" t="s">
        <v>37</v>
      </c>
    </row>
    <row r="52" spans="1:15" hidden="1">
      <c r="A52" s="6" t="s">
        <v>23</v>
      </c>
      <c r="B52" s="6" t="s">
        <v>23</v>
      </c>
      <c r="C52" s="6" t="s">
        <v>23</v>
      </c>
      <c r="D52" s="6" t="s">
        <v>23</v>
      </c>
      <c r="E52" s="6" t="s">
        <v>23</v>
      </c>
      <c r="F52" s="6" t="s">
        <v>24</v>
      </c>
      <c r="G52" s="6" t="s">
        <v>24</v>
      </c>
      <c r="H52" s="6" t="s">
        <v>23</v>
      </c>
      <c r="I52" s="6" t="s">
        <v>23</v>
      </c>
      <c r="J52" s="6" t="s">
        <v>25</v>
      </c>
      <c r="K52" s="6" t="s">
        <v>23</v>
      </c>
      <c r="L52" s="6" t="s">
        <v>26</v>
      </c>
      <c r="M52" s="6" t="s">
        <v>27</v>
      </c>
      <c r="N52" s="6" t="s">
        <v>23</v>
      </c>
      <c r="O52" s="6" t="s">
        <v>23</v>
      </c>
    </row>
  </sheetData>
  <autoFilter ref="A1:O52" xr:uid="{00000000-0001-0000-0200-000000000000}">
    <filterColumn colId="14">
      <filters>
        <filter val="Recommended for New Designs"/>
      </filters>
    </filterColumn>
    <sortState xmlns:xlrd2="http://schemas.microsoft.com/office/spreadsheetml/2017/richdata2" ref="A2:O52">
      <sortCondition ref="J1:J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Web Display</vt:lpstr>
      <vt:lpstr>Raw Data Display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baosheng wang</cp:lastModifiedBy>
  <dcterms:modified xsi:type="dcterms:W3CDTF">2026-01-27T06:31:12Z</dcterms:modified>
</cp:coreProperties>
</file>