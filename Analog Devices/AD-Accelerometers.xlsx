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Temp\IMU\Analog Devices\"/>
    </mc:Choice>
  </mc:AlternateContent>
  <xr:revisionPtr revIDLastSave="0" documentId="13_ncr:1_{A09F4506-34F5-47BC-A46C-DBD23C1E3D1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1" r:id="rId1"/>
    <sheet name="Web Display" sheetId="2" r:id="rId2"/>
    <sheet name="Raw Data Display" sheetId="3" r:id="rId3"/>
  </sheets>
  <definedNames>
    <definedName name="_xlnm._FilterDatabase" localSheetId="2" hidden="1">'Raw Data Display'!$A$1:$Q$66</definedName>
  </definedNames>
  <calcPr calcId="191029"/>
</workbook>
</file>

<file path=xl/calcChain.xml><?xml version="1.0" encoding="utf-8"?>
<calcChain xmlns="http://schemas.openxmlformats.org/spreadsheetml/2006/main">
  <c r="A66" i="3" l="1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<sst xmlns="http://schemas.openxmlformats.org/spreadsheetml/2006/main" count="1458" uniqueCount="415">
  <si>
    <t>Date Created</t>
  </si>
  <si>
    <t>1/27/2026, 3:47:41 PM</t>
  </si>
  <si>
    <t>Product Type</t>
  </si>
  <si>
    <t>Accelerometers</t>
  </si>
  <si>
    <t>Web Link</t>
  </si>
  <si>
    <t>https://www.analog.com/en/parametricsearch/2475#/</t>
  </si>
  <si>
    <t>Filter Conditions</t>
  </si>
  <si>
    <t>(None)</t>
  </si>
  <si>
    <t>Part Number</t>
  </si>
  <si>
    <t>Description</t>
  </si>
  <si>
    <t>Output Signal Type</t>
  </si>
  <si>
    <t>Full Scale Range</t>
  </si>
  <si>
    <t>Number of Axes</t>
  </si>
  <si>
    <t>ISupply typ</t>
  </si>
  <si>
    <t>Positive Supply Voltage min</t>
  </si>
  <si>
    <t>Positive Supply Voltage max</t>
  </si>
  <si>
    <t>Interface Protocol</t>
  </si>
  <si>
    <t>Features</t>
  </si>
  <si>
    <t>Temperature Range</t>
  </si>
  <si>
    <t>1ku List Price</t>
  </si>
  <si>
    <t>Package</t>
  </si>
  <si>
    <t>Package Area</t>
  </si>
  <si>
    <t>Package Height</t>
  </si>
  <si>
    <t>Availability</t>
  </si>
  <si>
    <t>Lifecycle</t>
  </si>
  <si>
    <t/>
  </si>
  <si>
    <t>+/- g</t>
  </si>
  <si>
    <t>A</t>
  </si>
  <si>
    <t>V</t>
  </si>
  <si>
    <t>$ US; ¥ RMB</t>
  </si>
  <si>
    <t>mm²</t>
  </si>
  <si>
    <t>mm</t>
  </si>
  <si>
    <t>Micropower, 3-Axis, ±2g/±4g/±8g Digital Output MEMS Accelerometer</t>
  </si>
  <si>
    <t>960 nA</t>
  </si>
  <si>
    <t>I²C, SPI</t>
  </si>
  <si>
    <t>-40 to 85°C</t>
  </si>
  <si>
    <t>$1.6 (ADXL366BCCZ-RL)</t>
  </si>
  <si>
    <t>12-terminal LGA (2.2 mm x 2.3 mm x 0.87 mm), LGA</t>
  </si>
  <si>
    <t>5.06mm² (12-terminal LGA (2.2 mm x 2.3 mm x 0.87 mm)) (ADXL366BCCZ-RL7)</t>
  </si>
  <si>
    <t>0.87mm (12-terminal LGA (2.2 mm x 2.3 mm x 0.87 mm)) (ADXL366BCCZ-RL7)</t>
  </si>
  <si>
    <t>Recommended for New Designs</t>
  </si>
  <si>
    <t>Low Noise, Low Power, Wide Bandwidth, 3-Axis MEMS Accelerometer</t>
  </si>
  <si>
    <t>16, 4, 8</t>
  </si>
  <si>
    <t>340 µA</t>
  </si>
  <si>
    <t>2.25 V</t>
  </si>
  <si>
    <t>3.6 V</t>
  </si>
  <si>
    <t>I²C, I²S, PDM, SPI</t>
  </si>
  <si>
    <t>MEMS</t>
  </si>
  <si>
    <t>-40 to 125°C</t>
  </si>
  <si>
    <t>14-Lead LGA (2.9 mm x 2.8 mm x 0.87 mm)</t>
  </si>
  <si>
    <t>8.12mm² (14-Lead LGA (2.9 mm x 2.8 mm x 0.87 mm)) (ADXL318-1WBCCZ-RL)</t>
  </si>
  <si>
    <t>0.87mm (14-Lead LGA (2.9 mm x 2.8 mm x 0.87 mm)) (ADXL318-1WBCCZ-RL)</t>
  </si>
  <si>
    <t>15, 30, 60</t>
  </si>
  <si>
    <t>520 µA</t>
  </si>
  <si>
    <t>8.12mm² (14-Lead LGA (2.9 mm x 2.8 mm x 0.87 mm)) (ADXL319-1WBCCZ-RL)</t>
  </si>
  <si>
    <t>0.87mm (14-Lead LGA (2.9 mm x 2.8 mm x 0.87 mm)) (ADXL319-1WBCCZ-RL)</t>
  </si>
  <si>
    <t>Low Noise, Low Drift, Low Power, 3-Axis MEMS Accelerometers</t>
  </si>
  <si>
    <t>Digital Signal</t>
  </si>
  <si>
    <t>10, 20, 40</t>
  </si>
  <si>
    <t>$45.01 (ADXL357BBEZ)</t>
  </si>
  <si>
    <t>LCC, 14-Lead LCC (6mm x 6mm)</t>
  </si>
  <si>
    <t>39.0625mm² (14-Lead LCC (6mm x 6mm)) (ADXL357BBEZ)</t>
  </si>
  <si>
    <t>2.25mm (14-Lead LCC (6mm x 6mm)) (ADXL357BBEZ)</t>
  </si>
  <si>
    <t>$12.76 (ADXL382-1BCCZ-RL)</t>
  </si>
  <si>
    <t>8.12mm² (14-Lead LGA (2.9 mm x 2.8 mm x 0.87 mm)) (ADXL382-1BCCZ-RL)</t>
  </si>
  <si>
    <t>0.87mm (14-Lead LGA (2.9 mm x 2.8 mm x 0.87 mm)) (ADXL382-1BCCZ-RL)</t>
  </si>
  <si>
    <t>Low Cost Single Axis PSI5 Compatible Satellite Sensor</t>
  </si>
  <si>
    <t>4.5 V</t>
  </si>
  <si>
    <t>16.5 V</t>
  </si>
  <si>
    <t>12-Lead LFCSP (4mm x 4mm w/ EP)</t>
  </si>
  <si>
    <t>16mm² (12-Lead LFCSP (4mm x 4mm w/ EP)) (ADXL716WBCSZ)</t>
  </si>
  <si>
    <t>1.45mm (12-Lead LFCSP (4mm x 4mm w/ EP)) (ADXL716WBCSZ)</t>
  </si>
  <si>
    <t>Production</t>
  </si>
  <si>
    <t>330 µA</t>
  </si>
  <si>
    <t>85 to 125°C</t>
  </si>
  <si>
    <t>$5.31 (ADXL380-1BCCZ-RL)</t>
  </si>
  <si>
    <t>8.12mm² (14-Lead LGA (2.9 mm x 2.8 mm x 0.87 mm)) (ADXL380-1BCCZ-RL)</t>
  </si>
  <si>
    <t>0.87mm (14-Lead LGA (2.9 mm x 2.8 mm x 0.87 mm)) (ADXL380-1BCCZ-RL)</t>
  </si>
  <si>
    <t>Low Noise, Low Drift, Low Power, 3-Axis MEMS Accelerometer</t>
  </si>
  <si>
    <t>Analog Signal</t>
  </si>
  <si>
    <t>150 µA</t>
  </si>
  <si>
    <t>$10.20 (ADXL358BCCZ-RL)</t>
  </si>
  <si>
    <t>LGA, 14-Lead LGA (4mm x 4mm x 1.04mm)</t>
  </si>
  <si>
    <t>16mm² (14-Lead LGA (4mm x 4mm x 1.04mm)) (ADXL358BCCZ-RL)</t>
  </si>
  <si>
    <t>1.04mm (14-Lead LGA (4mm x 4mm x 1.04mm)) (ADXL358BCCZ-RL)</t>
  </si>
  <si>
    <t>Low Noise, Low Drift, Low Power 3-Axis MEMS Accelerometer</t>
  </si>
  <si>
    <t>200 µA</t>
  </si>
  <si>
    <t>I²C</t>
  </si>
  <si>
    <t>$13.01 (ADXL359BCCZ)</t>
  </si>
  <si>
    <t>14-Lead LGA (4mm x 4mm x 1.04mm)</t>
  </si>
  <si>
    <t>16mm² (14-Lead LGA (4mm x 4mm x 1.04mm)) (ADXL359BCCZ)</t>
  </si>
  <si>
    <t>1.04mm (14-Lead LGA (4mm x 4mm x 1.04mm)) (ADXL359BCCZ)</t>
  </si>
  <si>
    <t>±200 g Range, 3-Axis Digital Accelerometer</t>
  </si>
  <si>
    <t>170 µA</t>
  </si>
  <si>
    <t>2 V</t>
  </si>
  <si>
    <t>$4.42 (ADXL314WBCPZ-RL)</t>
  </si>
  <si>
    <t>LFCSP</t>
  </si>
  <si>
    <t>Nanopower, 3-Axis, ±2 g/±4 g/±8 g Digital Output MEMS Accelerometer</t>
  </si>
  <si>
    <t>2, 4, 8</t>
  </si>
  <si>
    <t>890 nA</t>
  </si>
  <si>
    <t>1.1 V</t>
  </si>
  <si>
    <t>$3.16 (ADXL367BCCZ-RL7)</t>
  </si>
  <si>
    <t>12-terminal LGA (2.2 mm x 2.3 mm x 0.87 mm)</t>
  </si>
  <si>
    <t>5.06mm² (12-terminal LGA (2.2 mm x 2.3 mm x 0.87 mm)) (ADXL367BCCZ-RL)</t>
  </si>
  <si>
    <t>0.87mm (12-terminal LGA (2.2 mm x 2.3 mm x 0.87 mm)) (ADXL367BCCZ-RL)</t>
  </si>
  <si>
    <t>Micropower, 3-Axis, ±200 g Digital Output, MEMS Accelerometer</t>
  </si>
  <si>
    <t>22 µA</t>
  </si>
  <si>
    <t>2.5 V</t>
  </si>
  <si>
    <t>3.5 V</t>
  </si>
  <si>
    <t>10.89mm² (16-Lead LGA (3mm x 3.25mm)) (ADXL371BCCZ-RL)</t>
  </si>
  <si>
    <t>0.85mm (16-Lead LGA (3mm x 3.25mm)) (ADXL371BCCZ-RL)</t>
  </si>
  <si>
    <t>Micropower, 3-Axis, ±400 g, Digital Output, MEMS Accelerometer</t>
  </si>
  <si>
    <t>19 µA</t>
  </si>
  <si>
    <t>1.6 V</t>
  </si>
  <si>
    <t>-40 to 105°C</t>
  </si>
  <si>
    <t>$9.32 (ADXL373BCCZ-RL)</t>
  </si>
  <si>
    <t>16-Lead LGA (3mm x 3.25mm)</t>
  </si>
  <si>
    <t>10.89mm² (16-Lead LGA (3mm x 3.25mm)) (ADXL373BCCZ-RL)</t>
  </si>
  <si>
    <t>0.85mm (16-Lead LGA (3mm x 3.25mm)) (ADXL373BCCZ-RL)</t>
  </si>
  <si>
    <t>3-Axis, ±16 g, I2S Digital Accelerometer</t>
  </si>
  <si>
    <t>5 mA</t>
  </si>
  <si>
    <t>3 V</t>
  </si>
  <si>
    <t>I²C, I²S</t>
  </si>
  <si>
    <t>Wide Bandwidth, Low Noise, Vibration Sensor</t>
  </si>
  <si>
    <t>23.9 mA</t>
  </si>
  <si>
    <t>SPI</t>
  </si>
  <si>
    <t>$175.78 (ADCMXL1021-1BMLZ)</t>
  </si>
  <si>
    <t>14-lead Module with integrated flex connector (27 mm x 23.7 mm x 12.4 mm)</t>
  </si>
  <si>
    <t>639.9mm² (14-lead Module with integrated flex connector (27 mm x 23.7 mm x 12.4 mm)) (ADCMXL1021-1BMLZ)</t>
  </si>
  <si>
    <t>12.4mm (14-lead Module with integrated flex connector (27 mm x 23.7 mm x 12.4 mm)) (ADCMXL1021-1BMLZ)</t>
  </si>
  <si>
    <t>Wide Bandwidth, Low Noise, Triaxial Vibration Sensor</t>
  </si>
  <si>
    <t>31 mA</t>
  </si>
  <si>
    <t>$235.16 (ADCMXL3021BMLZ)</t>
  </si>
  <si>
    <t>639.9mm² (14-lead Module with integrated flex connector (27 mm x 23.7 mm x 12.4 mm)) (ADCMXL3021BMLZ)</t>
  </si>
  <si>
    <t>12.4mm (14-lead Module with integrated flex connector (27 mm x 23.7 mm x 12.4 mm)) (ADCMXL3021BMLZ)</t>
  </si>
  <si>
    <t>Low Noise, Wide Bandwidth, MEMS Accelerometer</t>
  </si>
  <si>
    <t>1 mA</t>
  </si>
  <si>
    <t>5.25 V</t>
  </si>
  <si>
    <t>In Plane Direction of Sensing</t>
  </si>
  <si>
    <t>$38.97 (ADXL1003BCPZ)</t>
  </si>
  <si>
    <t>32-Lead LFCSP (5mm x 5mm x 1.8mm w/ EP)</t>
  </si>
  <si>
    <t>25mm² (32-Lead LFCSP (5mm x 5mm x 1.8mm w/ EP)) (ADXL1003BCPZ)</t>
  </si>
  <si>
    <t>1.8mm (32-Lead LFCSP (5mm x 5mm x 1.8mm w/ EP)) (ADXL1003BCPZ)</t>
  </si>
  <si>
    <t>$47.23 (ADXL1005BCPZ)</t>
  </si>
  <si>
    <t>25mm² (32-Lead LFCSP (5mm x 5mm x 1.8mm w/ EP)) (ADXL1005BCPZ)</t>
  </si>
  <si>
    <t>1.8mm (32-Lead LFCSP (5mm x 5mm x 1.8mm w/ EP)) (ADXL1005BCPZ)</t>
  </si>
  <si>
    <t>$42.96 (ADXL1004BCPZ)</t>
  </si>
  <si>
    <t>25mm² (32-Lead LFCSP (5mm x 5mm x 1.8mm w/ EP)) (ADXL1004BCPZ)</t>
  </si>
  <si>
    <t>1.8mm (32-Lead LFCSP (5mm x 5mm x 1.8mm w/ EP)) (ADXL1004BCPZ)</t>
  </si>
  <si>
    <t>Dual-Axis, 60 g to 480 g Sensor with SPI and PSI5</t>
  </si>
  <si>
    <t>120, 240, 480, 60</t>
  </si>
  <si>
    <t>6 mA</t>
  </si>
  <si>
    <t>3.135 V</t>
  </si>
  <si>
    <t>11 V</t>
  </si>
  <si>
    <t>PSI5, SPI</t>
  </si>
  <si>
    <t>12-Lead LFCSP (4mm x 4mm x 1.45mm w/ EP)</t>
  </si>
  <si>
    <t>16mm² (12-Lead LFCSP (4mm x 4mm x 1.45mm w/ EP)) (ADXL251WBCPZ-RL)</t>
  </si>
  <si>
    <t>1.45mm (12-Lead LFCSP (4mm x 4mm x 1.45mm w/ EP)) (ADXL251WBCPZ-RL)</t>
  </si>
  <si>
    <t>Low Noise, High Frequency +/-100g MEMS Accelerometer</t>
  </si>
  <si>
    <t>$35.55 (ADXL1001BCPZ)</t>
  </si>
  <si>
    <t>25mm² (32-Lead LFCSP (5mm x 5mm x 1.8mm w/ EP)) (ADXL1001BCPZ)</t>
  </si>
  <si>
    <t>1.8mm (32-Lead LFCSP (5mm x 5mm x 1.8mm w/ EP)) (ADXL1001BCPZ)</t>
  </si>
  <si>
    <t>Low Noise, High Frequency +/-50g MEMS Accelerometer</t>
  </si>
  <si>
    <t>$35.55 (ADXL1002BCPZ)</t>
  </si>
  <si>
    <t>25mm² (32-Lead LFCSP (5mm x 5mm x 1.8mm w/ EP)) (ADXL1002BCPZ)</t>
  </si>
  <si>
    <t>1.8mm (32-Lead LFCSP (5mm x 5mm x 1.8mm w/ EP)) (ADXL1002BCPZ)</t>
  </si>
  <si>
    <t>Micropower, 3-Axis, ±200 g Digital Output, MEMS</t>
  </si>
  <si>
    <t>Concussion Sensing, MEMS</t>
  </si>
  <si>
    <t>$8.13 (ADXL372BCCZ-RL)</t>
  </si>
  <si>
    <t>10.89mm² (16-Lead LGA (3mm x 3.25mm)) (ADXL372BCCZ-RL)</t>
  </si>
  <si>
    <t>0.85mm (16-Lead LGA (3mm x 3.25mm)) (ADXL372BCCZ-RL)</t>
  </si>
  <si>
    <t>-55 to 125°C</t>
  </si>
  <si>
    <t>$36.83 (ADXL356BEZ)</t>
  </si>
  <si>
    <t>14-Lead LCC (6mm x 6mm)</t>
  </si>
  <si>
    <t>39.0625mm² (14-Lead LCC (6mm x 6mm)) (ADXL356BEZ)</t>
  </si>
  <si>
    <t>2.25mm (14-Lead LCC (6mm x 6mm)) (ADXL356BEZ)</t>
  </si>
  <si>
    <t>Low Noise, Low Drift, Low Power, 3-Axis MEMS Accelerometers with Digital Output</t>
  </si>
  <si>
    <t>$48.35 (ADXL357BEZ)</t>
  </si>
  <si>
    <t>39.0625mm² (14-Lead LCC (6mm x 6mm)) (ADXL357BEZ)</t>
  </si>
  <si>
    <t>2.25mm (14-Lead LCC (6mm x 6mm)) (ADXL357BEZ)</t>
  </si>
  <si>
    <t>Low-Noise, Low-Drift, Low-Power, 3-Axis MEMS Accelerometers</t>
  </si>
  <si>
    <t>$32.74 (ADXL354BEZ)</t>
  </si>
  <si>
    <t>39.0625mm² (14-Lead LCC (6mm x 6mm)) (ADXL354BEZ)</t>
  </si>
  <si>
    <t>2.25mm (14-Lead LCC (6mm x 6mm)) (ADXL354BEZ)</t>
  </si>
  <si>
    <t>$36.38 (ADXL355BEZ)</t>
  </si>
  <si>
    <t>39.0625mm² (14-Lead LCC (6mm x 6mm)) (ADXL355BEZ)</t>
  </si>
  <si>
    <t>2.25mm (14-Lead LCC (6mm x 6mm)) (ADXL355BEZ)</t>
  </si>
  <si>
    <t>Low Cost, Single Axis, PSI5-Compatible Satellite Sensor</t>
  </si>
  <si>
    <t>120, 240, 480</t>
  </si>
  <si>
    <t>PSI5</t>
  </si>
  <si>
    <t>16mm² (12-Lead LFCSP (4mm x 4mm w/ EP)) (ADXL151WBCSZ-RL)</t>
  </si>
  <si>
    <t>1.45mm (12-Lead LFCSP (4mm x 4mm w/ EP)) (ADXL151WBCSZ-RL)</t>
  </si>
  <si>
    <t>Last Time Buy</t>
  </si>
  <si>
    <t>Small, Low Power, 3-Axis, ±16 g Accelerometer</t>
  </si>
  <si>
    <t>350 µA</t>
  </si>
  <si>
    <t>1.8 V</t>
  </si>
  <si>
    <t>$4.59 (ADXL316WBCSZ)</t>
  </si>
  <si>
    <t>16.81mm² (12-Lead LFCSP (4mm x 4mm w/ EP)) (ADXL316WBCSZ)</t>
  </si>
  <si>
    <t>1.45mm (12-Lead LFCSP (4mm x 4mm w/ EP)) (ADXL316WBCSZ)</t>
  </si>
  <si>
    <t>High Precision, Low-g, Digital Triaxial Accelerometer</t>
  </si>
  <si>
    <t>3.3 V</t>
  </si>
  <si>
    <t>5 V</t>
  </si>
  <si>
    <t>16-Lead SOIC Wide</t>
  </si>
  <si>
    <t>111.825mm² (16-Lead SOIC Wide) (ADXL700WBRWZ)</t>
  </si>
  <si>
    <t>2.65mm (16-Lead SOIC Wide) (ADXL700WBRWZ)</t>
  </si>
  <si>
    <t>Low Cost, Single Z-Axis PSI5-Compatible Satellite Sensor</t>
  </si>
  <si>
    <t>120, 240, 30, 480, 60</t>
  </si>
  <si>
    <t>Low Cost, Single X-Axis PSI5-Compatible Satellite Sensor</t>
  </si>
  <si>
    <t>Micropower 3-Sensor Combination Including Acceleration and Temperature</t>
  </si>
  <si>
    <t>1.8 µA</t>
  </si>
  <si>
    <t>$4.45 (ADXL363BCCZ-RL)</t>
  </si>
  <si>
    <t>10.89mm² (16-Lead LGA (3mm x 3.25mm)) (ADXL363BCCZ-RL)</t>
  </si>
  <si>
    <t>0.85mm (16-Lead LGA (3mm x 3.25mm)) (ADXL363BCCZ-RL)</t>
  </si>
  <si>
    <t>3-Axis, ±200 g Digital MEMS Accelerometer</t>
  </si>
  <si>
    <t>145 µA</t>
  </si>
  <si>
    <t>-55 to 105°C</t>
  </si>
  <si>
    <t>$5.8 (ADXL375BCCZ)</t>
  </si>
  <si>
    <t>14-Lead LGA (5mm x 3mm)</t>
  </si>
  <si>
    <t>15mm² (14-Lead LGA (5mm x 3mm)) (ADXL375BCCZ)</t>
  </si>
  <si>
    <t>0.95mm (14-Lead LGA (5mm x 3mm)) (ADXL375BCCZ)</t>
  </si>
  <si>
    <t>3-Axis, ±0.5 g/±1 g/±2 g/±4 g Digital Accelerometer</t>
  </si>
  <si>
    <t>0.5, 1, 2, 4</t>
  </si>
  <si>
    <t>$5.15 (ADXL313WACPZ-RL)</t>
  </si>
  <si>
    <t>32-Lead LFCSP (5mm x 5mm x 1.55mm w/ EP)</t>
  </si>
  <si>
    <t>25mm² (32-Lead LFCSP (5mm x 5mm x 1.55mm w/ EP)) (ADXL313WACPZ-RL)</t>
  </si>
  <si>
    <t>1.55mm (32-Lead LFCSP (5mm x 5mm x 1.55mm w/ EP)) (ADXL313WACPZ-RL)</t>
  </si>
  <si>
    <t>Single-axis, High Performance Accelerometer with Dual Spectrum Signal Processing</t>
  </si>
  <si>
    <t>1.68mm (16-Lead SOIC w/ EP) (ADXL195WBRDZA-RL)</t>
  </si>
  <si>
    <t>39.8202mm² (16-Lead SOIC w/ EP) (ADXL195WBRDZA-RL)</t>
  </si>
  <si>
    <t>Not Recommended for New Designs</t>
  </si>
  <si>
    <t>High Performance, Dual-Axis Digital Output Accelerometer</t>
  </si>
  <si>
    <t>7 mA</t>
  </si>
  <si>
    <t>16-Lead SOIC w/ EP</t>
  </si>
  <si>
    <t>39.8202mm² (16-Lead SOIC w/ EP) (ADXL288WBRDZ-RL)</t>
  </si>
  <si>
    <t>1.68mm (16-Lead SOIC w/ EP) (ADXL288WBRDZ-RL)</t>
  </si>
  <si>
    <t>Dual-axis, High Performance Accelerometer with Dual Spectrum Signal Processing</t>
  </si>
  <si>
    <t>Small, Low Power, 3-Axis ±200 g Accelerometer</t>
  </si>
  <si>
    <t>300 µA</t>
  </si>
  <si>
    <t>Micropower, 3-Axis, ±2 g/±4 g/±8 g Digital Output MEMS Accelerometer</t>
  </si>
  <si>
    <t>$3.42 (ADXL362BCCZ-RL)</t>
  </si>
  <si>
    <t>10.89mm² (16-Lead LGA (3mm x 3.25mm)) (ADXL362BCCZ-R2)</t>
  </si>
  <si>
    <t>0.85mm (16-Lead LGA (3mm x 3.25mm)) (ADXL362BCCZ-R2)</t>
  </si>
  <si>
    <t>3-Axis, ±2 g/±4 g/±8 g/±16 g Digital Accelerometer</t>
  </si>
  <si>
    <t>16, 2, 4, 8</t>
  </si>
  <si>
    <t>140 µA</t>
  </si>
  <si>
    <t>$1.36 (ADXL343BCCZ)</t>
  </si>
  <si>
    <t>15mm² (14-Lead LGA (5mm x 3mm)) (ADXL343BCCZ)</t>
  </si>
  <si>
    <t>0.95mm (14-Lead LGA (5mm x 3mm)) (ADXL343BCCZ)</t>
  </si>
  <si>
    <t>3-Axis, ±2 g/±4 g/±8 g/±16 g Ultralow Power Digital Accelerometer</t>
  </si>
  <si>
    <t>1.7 V</t>
  </si>
  <si>
    <t>2.75 V</t>
  </si>
  <si>
    <t>$1.40 (ADXL344ACCZ-RL)</t>
  </si>
  <si>
    <t>16-Lead LGA (3mm x 3mm)</t>
  </si>
  <si>
    <t>9.61mm² (16-Lead LGA (3mm x 3mm)) (ADXL344ACCZ-RL)</t>
  </si>
  <si>
    <t>0.95mm (16-Lead LGA (3mm x 3mm)) (ADXL344ACCZ-RL)</t>
  </si>
  <si>
    <t>3-Axis ±1g/±2g/±4g/±8g Digital Accelerometer</t>
  </si>
  <si>
    <t>1, 2, 4, 8</t>
  </si>
  <si>
    <t>166 µA</t>
  </si>
  <si>
    <t>$4.41 (ADXL350BCEZ-RL)</t>
  </si>
  <si>
    <t>16-Lead LGA_CAV (4mm x 3mm x 1.2mm)</t>
  </si>
  <si>
    <t>12mm² (16-Lead LGA_CAV (4mm x 3mm x 1.2mm)) (ADXL350BCEZ-RL)</t>
  </si>
  <si>
    <t>1.2mm (16-Lead LGA_CAV (4mm x 3mm x 1.2mm)) (ADXL350BCEZ-RL)</t>
  </si>
  <si>
    <t>Precision, ±5 g, Dual-Axis, High Temperature iMEMS Accelerometer</t>
  </si>
  <si>
    <t>700 µA</t>
  </si>
  <si>
    <t>4.75 V</t>
  </si>
  <si>
    <t>-40 to 175°C</t>
  </si>
  <si>
    <t>$575.29 (ADXL206HDZ)</t>
  </si>
  <si>
    <t>8-Lead Side Brazed CerDIP</t>
  </si>
  <si>
    <t>109.0062mm² (8-Lead Side Brazed CerDIP) (ADXL206HDZ)</t>
  </si>
  <si>
    <t>3.5814mm (8-Lead Side Brazed CerDIP) (ADXL206HDZ)</t>
  </si>
  <si>
    <t>Low Cost ±2g Dual Axis Accelerometer</t>
  </si>
  <si>
    <t>$15.84 (ADXL212AEZ)</t>
  </si>
  <si>
    <t>8-Lead LCC</t>
  </si>
  <si>
    <t>26.5864mm² (8-Lead LCC) (ADXL212AEZ)</t>
  </si>
  <si>
    <t>2.2098mm (8-Lead LCC) (ADXL212AEZ)</t>
  </si>
  <si>
    <t>Precision Triaxial Inclinometer and Accelerometer with SPI</t>
  </si>
  <si>
    <t>18 mA</t>
  </si>
  <si>
    <t>$241.29 (ADIS16210CMLZ)</t>
  </si>
  <si>
    <t>15-terminal Module (15mm x15mm x 15mm)</t>
  </si>
  <si>
    <t>Small, Low Power, 3-Axis ±3 g Accelerometer</t>
  </si>
  <si>
    <t>Temperature Stability</t>
  </si>
  <si>
    <t>3-Axis, ±1.5 g/±3 g/±6 g/±12 g Digital Accelerometer</t>
  </si>
  <si>
    <t>1.5, 12, 3, 6</t>
  </si>
  <si>
    <t>$1.95 (ADXL312ACPZ)</t>
  </si>
  <si>
    <t>25mm² (32-Lead LFCSP (5mm x 5mm x 1.55mm w/ EP)) (ADXL312ACPZ)</t>
  </si>
  <si>
    <t>1.55mm (32-Lead LFCSP (5mm x 5mm x 1.55mm w/ EP)) (ADXL312ACPZ)</t>
  </si>
  <si>
    <t>Free Fall Detection</t>
  </si>
  <si>
    <t>$2.87 (ADXL346ACCZ-RL)</t>
  </si>
  <si>
    <t>9.61mm² (16-Lead LGA (3mm x 3mm)) (ADXL346ACCZ-R2)</t>
  </si>
  <si>
    <t>0.95mm (16-Lead LGA (3mm x 3mm)) (ADXL346ACCZ-R2)</t>
  </si>
  <si>
    <t>Small, Low Power, 3-Axis ±5 g Accelerometer</t>
  </si>
  <si>
    <t>$2.80 (ADXL325BCPZ)</t>
  </si>
  <si>
    <t>16-Lead LFCSP (4mm x 4mm)</t>
  </si>
  <si>
    <t>16mm² (16-Lead LFCSP (4mm x 4mm)) (ADXL325BCPZ)</t>
  </si>
  <si>
    <t>1.5mm (16-Lead LFCSP (4mm x 4mm)) (ADXL325BCPZ)</t>
  </si>
  <si>
    <t>Small, Low Power, 3-Axis ±16 g Accelerometer</t>
  </si>
  <si>
    <t>$2.80 (ADXL326BCPZ)</t>
  </si>
  <si>
    <t>16mm² (16-Lead LFCSP (4mm x 4mm)) (ADXL326BCPZ)</t>
  </si>
  <si>
    <t>1.5mm (16-Lead LFCSP (4mm x 4mm)) (ADXL326BCPZ)</t>
  </si>
  <si>
    <t>Small, Low Power, 3-Axis ±2 g Accelerometer</t>
  </si>
  <si>
    <t>$3.19 (ADXL327BCPZ)</t>
  </si>
  <si>
    <t>16mm² (16-Lead LFCSP (4mm x 4mm)) (ADXL327BCPZ)</t>
  </si>
  <si>
    <t>1.5mm (16-Lead LFCSP (4mm x 4mm)) (ADXL327BCPZ)</t>
  </si>
  <si>
    <t>$2.96 (ADXL345BCCZ)</t>
  </si>
  <si>
    <t>15mm² (14-Lead LGA (5mm x 3mm)) (ADXL345BCCZ)</t>
  </si>
  <si>
    <t>0.95mm (14-Lead LGA (5mm x 3mm)) (ADXL345BCCZ)</t>
  </si>
  <si>
    <t>$3.31 (ADXL335BCPZ)</t>
  </si>
  <si>
    <t>16-Lead LFCSP (4mm x 4mm w/ EP)</t>
  </si>
  <si>
    <t>16mm² (16-Lead LFCSP (4mm x 4mm w/ EP)) (ADXL335BCPZ)</t>
  </si>
  <si>
    <t>1.5mm (16-Lead LFCSP (4mm x 4mm w/ EP)) (ADXL335BCPZ)</t>
  </si>
  <si>
    <t>Configurable, High-g, iMEMS® Accelerometer</t>
  </si>
  <si>
    <t>7.7 mA</t>
  </si>
  <si>
    <t>14.5 V</t>
  </si>
  <si>
    <t>2-Wire</t>
  </si>
  <si>
    <t>High Accuracy, Dual-Axis Digital Inclinometer and Accelerometer</t>
  </si>
  <si>
    <t>14 mA</t>
  </si>
  <si>
    <t>$70.48 (ADIS16209CCCZ)</t>
  </si>
  <si>
    <t>16-Lead LGA (9.35mm x 9.2mm)</t>
  </si>
  <si>
    <t>87.4225mm² (16-Lead LGA (9.35mm x 9.2mm)) (ADIS16209CCCZ)</t>
  </si>
  <si>
    <t>3.9mm (16-Lead LGA (9.35mm x 9.2mm)) (ADIS16209CCCZ)</t>
  </si>
  <si>
    <t>Precision ±1.7 g, ±5 g, ±18 g Dual-Axis iMEMS® Accelerometer</t>
  </si>
  <si>
    <t>6 V</t>
  </si>
  <si>
    <t>$19 (ADXL203CE)</t>
  </si>
  <si>
    <t>26.5864mm² (8-Lead LCC) (ADXL203CE)</t>
  </si>
  <si>
    <t>2.2098mm (8-Lead LCC) (ADXL203CE)</t>
  </si>
  <si>
    <t>Dual-Axis ±1.7 g Accelerometer with SPI Interface</t>
  </si>
  <si>
    <t>1.4 mA</t>
  </si>
  <si>
    <t>$36.5 (ADIS16003CCCZ)</t>
  </si>
  <si>
    <t>12-Lead LGA (7.35mm x 7.2mm)</t>
  </si>
  <si>
    <t>54.0225mm² (12-Lead LGA (7.35mm x 7.2mm)) (ADIS16003CCCZ)</t>
  </si>
  <si>
    <t>3.7mm (12-Lead LGA (7.35mm x 7.2mm)) (ADIS16003CCCZ)</t>
  </si>
  <si>
    <t>Dual-Axis ±5 g Accelerometer with SPI Interface</t>
  </si>
  <si>
    <t>$36.5 (ADIS16006CCCZ)</t>
  </si>
  <si>
    <t>54.0225mm² (12-Lead LGA (7.35mm x 7.2mm)) (ADIS16006CCCZ)</t>
  </si>
  <si>
    <t>3.7mm (12-Lead LGA (7.35mm x 7.2mm)) (ADIS16006CCCZ)</t>
  </si>
  <si>
    <t>Precision ±1.7 g or ±18 g Single-Axis iMEMS® Accelerometer</t>
  </si>
  <si>
    <t>$15.81 (ADXL103CE)</t>
  </si>
  <si>
    <t>26.5864mm² (8-Lead LCC) (ADXL103CE)</t>
  </si>
  <si>
    <t>2.2098mm (8-Lead LCC) (ADXL103CE)</t>
  </si>
  <si>
    <t>Low Cost ±1.2g Dual Axis Accelerometer</t>
  </si>
  <si>
    <t>$19 (ADXL213AE)</t>
  </si>
  <si>
    <t>26.5864mm² (8-Lead LCC) (ADXL213AE)</t>
  </si>
  <si>
    <t>2.2098mm (8-Lead LCC) (ADXL213AE)</t>
  </si>
  <si>
    <t>Programmable Dual-Axis Inclinometer/Accelerometer</t>
  </si>
  <si>
    <t>11 mA</t>
  </si>
  <si>
    <t>$49.01 (ADIS16201CCCZ)</t>
  </si>
  <si>
    <t>87.4225mm² (16-Lead LGA (9.35mm x 9.2mm)) (ADIS16201CCCZ)</t>
  </si>
  <si>
    <t>3.9mm (16-Lead LGA (9.35mm x 9.2mm)) (ADIS16201CCCZ)</t>
  </si>
  <si>
    <t>Programmable 360° Inclinometer</t>
  </si>
  <si>
    <t>$49.01 (ADIS16203CCCZ)</t>
  </si>
  <si>
    <t>87.4225mm² (16-Lead LGA (9.35mm x 9.2mm)) (ADIS16203CCCZ)</t>
  </si>
  <si>
    <t>3.9mm (16-Lead LGA (9.35mm x 9.2mm)) (ADIS16203CCCZ)</t>
  </si>
  <si>
    <t>Low Cost, Single-Axis, PSI5-Compatible Satellite Sensor</t>
  </si>
  <si>
    <t>1.45mm (12-Lead LFCSP (4mm x 4mm w/ EP)) (ADXL152WBCSZ-RL)</t>
  </si>
  <si>
    <t>16mm² (12-Lead LFCSP (4mm x 4mm w/ EP)) (ADXL152WBCSZ-RL)</t>
  </si>
  <si>
    <t>Micropower 3-Axis ±2g/±4g/±8g Digital Output MEMS Accelerometer</t>
  </si>
  <si>
    <t>I²C SPI</t>
  </si>
  <si>
    <t>12-terminal LGA (2.2 mm x 2.3 mm x 0.87 mm) LGA</t>
  </si>
  <si>
    <t>Low Noise Low Power Wide Bandwidth 3-Axis MEMS Accelerometer</t>
  </si>
  <si>
    <t>16 4 8</t>
  </si>
  <si>
    <t>I²C I²S PDM SPI</t>
  </si>
  <si>
    <t>15 30 60</t>
  </si>
  <si>
    <t>Low Noise Low Drift Low Power 3-Axis MEMS Accelerometers</t>
  </si>
  <si>
    <t>10 20 40</t>
  </si>
  <si>
    <t>LCC 14-Lead LCC (6mm x 6mm)</t>
  </si>
  <si>
    <t>Low Noise Low Drift Low Power 3-Axis MEMS Accelerometer</t>
  </si>
  <si>
    <t>LGA 14-Lead LGA (4mm x 4mm x 1.04mm)</t>
  </si>
  <si>
    <t>±200 g Range 3-Axis Digital Accelerometer</t>
  </si>
  <si>
    <t>Nanopower 3-Axis ±2 g/±4 g/±8 g Digital Output MEMS Accelerometer</t>
  </si>
  <si>
    <t>2 4 8</t>
  </si>
  <si>
    <t>Micropower 3-Axis ±200 g Digital Output MEMS Accelerometer</t>
  </si>
  <si>
    <t>Micropower 3-Axis ±400 g Digital Output MEMS Accelerometer</t>
  </si>
  <si>
    <t>3-Axis ±16 g I2S Digital Accelerometer</t>
  </si>
  <si>
    <t>I²C I²S</t>
  </si>
  <si>
    <t>Wide Bandwidth Low Noise Vibration Sensor</t>
  </si>
  <si>
    <t>Wide Bandwidth Low Noise Triaxial Vibration Sensor</t>
  </si>
  <si>
    <t>Low Noise Wide Bandwidth MEMS Accelerometer</t>
  </si>
  <si>
    <t>Dual-Axis 60 g to 480 g Sensor with SPI and PSI5</t>
  </si>
  <si>
    <t>120 240 480 60</t>
  </si>
  <si>
    <t>PSI5 SPI</t>
  </si>
  <si>
    <t>Low Noise High Frequency +/-100g MEMS Accelerometer</t>
  </si>
  <si>
    <t>Low Noise High Frequency +/-50g MEMS Accelerometer</t>
  </si>
  <si>
    <t>Micropower 3-Axis ±200 g Digital Output MEMS</t>
  </si>
  <si>
    <t>Concussion Sensing MEMS</t>
  </si>
  <si>
    <t>Low Noise Low Drift Low Power 3-Axis MEMS Accelerometers with Digital Output</t>
  </si>
  <si>
    <t>Low-Noise Low-Drift Low-Power 3-Axis MEMS Accelerometers</t>
  </si>
  <si>
    <t>Low Cost Single Axis PSI5-Compatible Satellite Sensor</t>
  </si>
  <si>
    <t>120 240 480</t>
  </si>
  <si>
    <t>Small Low Power 3-Axis ±16 g Accelerometer</t>
  </si>
  <si>
    <t>High Precision Low-g Digital Triaxial Accelerometer</t>
  </si>
  <si>
    <t>Low Cost Single Z-Axis PSI5-Compatible Satellite Sensor</t>
  </si>
  <si>
    <t>120 240 30 480 60</t>
  </si>
  <si>
    <t>Low Cost Single X-Axis PSI5-Compatible Satellite Sensor</t>
  </si>
  <si>
    <t>3-Axis ±200 g Digital MEMS Accelerometer</t>
  </si>
  <si>
    <t>3-Axis ±0.5 g/±1 g/±2 g/±4 g Digital Accelerometer</t>
  </si>
  <si>
    <t>0.5 1 2 4</t>
  </si>
  <si>
    <t>Single-axis High Performance Accelerometer with Dual Spectrum Signal Processing</t>
  </si>
  <si>
    <t>High Performance Dual-Axis Digital Output Accelerometer</t>
  </si>
  <si>
    <t>Dual-axis High Performance Accelerometer with Dual Spectrum Signal Processing</t>
  </si>
  <si>
    <t>Small Low Power 3-Axis ±200 g Accelerometer</t>
  </si>
  <si>
    <t>Micropower 3-Axis ±2 g/±4 g/±8 g Digital Output MEMS Accelerometer</t>
  </si>
  <si>
    <t>3-Axis ±2 g/±4 g/±8 g/±16 g Digital Accelerometer</t>
  </si>
  <si>
    <t>16 2 4 8</t>
  </si>
  <si>
    <t>3-Axis ±2 g/±4 g/±8 g/±16 g Ultralow Power Digital Accelerometer</t>
  </si>
  <si>
    <t>1 2 4 8</t>
  </si>
  <si>
    <t>Precision ±5 g Dual-Axis High Temperature iMEMS Accelerometer</t>
  </si>
  <si>
    <t>Small Low Power 3-Axis ±3 g Accelerometer</t>
  </si>
  <si>
    <t>3-Axis ±1.5 g/±3 g/±6 g/±12 g Digital Accelerometer</t>
  </si>
  <si>
    <t>1.5 12 3 6</t>
  </si>
  <si>
    <t>Small Low Power 3-Axis ±5 g Accelerometer</t>
  </si>
  <si>
    <t>Small Low Power 3-Axis ±2 g Accelerometer</t>
  </si>
  <si>
    <t>Configurable High-g iMEMS® Accelerometer</t>
  </si>
  <si>
    <t>High Accuracy Dual-Axis Digital Inclinometer and Accelerometer</t>
  </si>
  <si>
    <t>Precision ±1.7 g ±5 g ±18 g Dual-Axis iMEMS® Accelerometer</t>
  </si>
  <si>
    <t>Low Cost Single-Axis PSI5-Compatible Satellite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</si>
</sst>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C5D9F1"/>
        <bgColor rgb="FFC5D9F1"/>
      </patternFill>
    </fill>
    <fill>
      <patternFill patternType="solid">
        <fgColor rgb="FFC5D9F1"/>
        <bgColor rgb="FFC5D9F1"/>
      </patternFill>
    </fill>
    <fill>
      <patternFill patternType="solid">
        <fgColor rgb="FFC5D9F1"/>
        <bgColor rgb="FFC5D9F1"/>
      </patternFill>
    </fill>
    <fill>
      <patternFill patternType="solid">
        <fgColor rgb="FFC5D9F1"/>
        <bgColor rgb="FFC5D9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 applyAlignment="1">
      <alignment horizontal="center"/>
    </xf>
    <xf numFmtId="0" fontId="2" fillId="0" borderId="0" xfId="0" applyFont="1"/>
    <xf numFmtId="0" fontId="0" fillId="0" borderId="1" xfId="0" applyBorder="1"/>
    <xf numFmtId="0" fontId="0" fillId="6" borderId="1" xfId="0" applyFill="1" applyBorder="1" applyAlignment="1">
      <alignment horizontal="center"/>
    </xf>
    <xf numFmtId="0" fontId="3" fillId="0" borderId="1" xfId="0" applyFont="1" applyBorder="1"/>
    <xf numFmtId="0" fontId="0" fillId="5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29" sqref="B29"/>
    </sheetView>
  </sheetViews>
  <sheetFormatPr defaultRowHeight="14.4"/>
  <cols>
    <col min="1" max="1" width="20" customWidth="1"/>
    <col min="2" max="2" width="25" customWidth="1"/>
    <col min="3" max="3" width="20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6"/>
  <sheetViews>
    <sheetView workbookViewId="0"/>
  </sheetViews>
  <sheetFormatPr defaultRowHeight="14.4"/>
  <cols>
    <col min="1" max="2" width="15" customWidth="1"/>
    <col min="3" max="3" width="22" customWidth="1"/>
    <col min="4" max="4" width="19" customWidth="1"/>
    <col min="5" max="5" width="17" customWidth="1"/>
    <col min="6" max="6" width="15" customWidth="1"/>
    <col min="7" max="8" width="32" customWidth="1"/>
    <col min="9" max="9" width="22" customWidth="1"/>
    <col min="10" max="10" width="15" customWidth="1"/>
    <col min="11" max="11" width="20" customWidth="1"/>
    <col min="12" max="12" width="17" customWidth="1"/>
    <col min="13" max="14" width="15" customWidth="1"/>
    <col min="15" max="15" width="17" customWidth="1"/>
    <col min="16" max="17" width="15" customWidth="1"/>
  </cols>
  <sheetData>
    <row r="1" spans="1:17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</row>
    <row r="2" spans="1:17">
      <c r="A2" s="3" t="s">
        <v>25</v>
      </c>
      <c r="B2" s="3" t="s">
        <v>25</v>
      </c>
      <c r="C2" s="3" t="s">
        <v>25</v>
      </c>
      <c r="D2" s="3" t="s">
        <v>26</v>
      </c>
      <c r="E2" s="3" t="s">
        <v>25</v>
      </c>
      <c r="F2" s="3" t="s">
        <v>27</v>
      </c>
      <c r="G2" s="3" t="s">
        <v>28</v>
      </c>
      <c r="H2" s="3" t="s">
        <v>28</v>
      </c>
      <c r="I2" s="3" t="s">
        <v>25</v>
      </c>
      <c r="J2" s="3" t="s">
        <v>25</v>
      </c>
      <c r="K2" s="3" t="s">
        <v>25</v>
      </c>
      <c r="L2" s="3" t="s">
        <v>29</v>
      </c>
      <c r="M2" s="3" t="s">
        <v>25</v>
      </c>
      <c r="N2" s="3" t="s">
        <v>30</v>
      </c>
      <c r="O2" s="3" t="s">
        <v>31</v>
      </c>
      <c r="P2" s="3" t="s">
        <v>25</v>
      </c>
      <c r="Q2" s="3" t="s">
        <v>25</v>
      </c>
    </row>
    <row r="3" spans="1:17">
      <c r="A3" s="4" t="str">
        <f>HYPERLINK("https://www.analog.com/en/ADXL366#details", "ADXL366")</f>
        <v>ADXL366</v>
      </c>
      <c r="B3" t="s">
        <v>32</v>
      </c>
      <c r="C3" t="s">
        <v>25</v>
      </c>
      <c r="D3" t="s">
        <v>25</v>
      </c>
      <c r="E3" t="s">
        <v>25</v>
      </c>
      <c r="F3" t="s">
        <v>33</v>
      </c>
      <c r="G3" t="s">
        <v>25</v>
      </c>
      <c r="H3" t="s">
        <v>25</v>
      </c>
      <c r="I3" t="s">
        <v>34</v>
      </c>
      <c r="J3" t="s">
        <v>25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>
        <v>295</v>
      </c>
      <c r="Q3" t="s">
        <v>40</v>
      </c>
    </row>
    <row r="4" spans="1:17">
      <c r="A4" s="4" t="str">
        <f>HYPERLINK("https://www.analog.com/en/ADXL318#details", "ADXL318")</f>
        <v>ADXL318</v>
      </c>
      <c r="B4" t="s">
        <v>41</v>
      </c>
      <c r="C4" t="s">
        <v>25</v>
      </c>
      <c r="D4" t="s">
        <v>42</v>
      </c>
      <c r="E4">
        <v>3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25</v>
      </c>
      <c r="M4" t="s">
        <v>49</v>
      </c>
      <c r="N4" t="s">
        <v>50</v>
      </c>
      <c r="O4" t="s">
        <v>51</v>
      </c>
      <c r="P4">
        <v>0</v>
      </c>
      <c r="Q4" t="s">
        <v>40</v>
      </c>
    </row>
    <row r="5" spans="1:17">
      <c r="A5" s="4" t="str">
        <f>HYPERLINK("https://www.analog.com/en/ADXL319#details", "ADXL319")</f>
        <v>ADXL319</v>
      </c>
      <c r="B5" t="s">
        <v>41</v>
      </c>
      <c r="C5" t="s">
        <v>25</v>
      </c>
      <c r="D5" t="s">
        <v>52</v>
      </c>
      <c r="E5">
        <v>3</v>
      </c>
      <c r="F5" t="s">
        <v>53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25</v>
      </c>
      <c r="M5" t="s">
        <v>49</v>
      </c>
      <c r="N5" t="s">
        <v>54</v>
      </c>
      <c r="O5" t="s">
        <v>55</v>
      </c>
      <c r="P5">
        <v>0</v>
      </c>
      <c r="Q5" t="s">
        <v>40</v>
      </c>
    </row>
    <row r="6" spans="1:17">
      <c r="A6" s="4" t="str">
        <f>HYPERLINK("https://www.analog.com/en/ADXL357B#details", "ADXL357B")</f>
        <v>ADXL357B</v>
      </c>
      <c r="B6" t="s">
        <v>56</v>
      </c>
      <c r="C6" t="s">
        <v>57</v>
      </c>
      <c r="D6" t="s">
        <v>58</v>
      </c>
      <c r="E6">
        <v>3</v>
      </c>
      <c r="F6" t="s">
        <v>25</v>
      </c>
      <c r="G6" t="s">
        <v>44</v>
      </c>
      <c r="H6" t="s">
        <v>45</v>
      </c>
      <c r="I6" t="s">
        <v>25</v>
      </c>
      <c r="J6" t="s">
        <v>25</v>
      </c>
      <c r="K6" t="s">
        <v>48</v>
      </c>
      <c r="L6" t="s">
        <v>59</v>
      </c>
      <c r="M6" t="s">
        <v>60</v>
      </c>
      <c r="N6" t="s">
        <v>61</v>
      </c>
      <c r="O6" t="s">
        <v>62</v>
      </c>
      <c r="P6">
        <v>196</v>
      </c>
      <c r="Q6" t="s">
        <v>40</v>
      </c>
    </row>
    <row r="7" spans="1:17">
      <c r="A7" s="4" t="str">
        <f>HYPERLINK("https://www.analog.com/en/ADXL382#details", "ADXL382")</f>
        <v>ADXL382</v>
      </c>
      <c r="B7" t="s">
        <v>41</v>
      </c>
      <c r="C7" t="s">
        <v>57</v>
      </c>
      <c r="D7" t="s">
        <v>25</v>
      </c>
      <c r="E7">
        <v>3</v>
      </c>
      <c r="F7" t="s">
        <v>53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63</v>
      </c>
      <c r="M7" t="s">
        <v>49</v>
      </c>
      <c r="N7" t="s">
        <v>64</v>
      </c>
      <c r="O7" t="s">
        <v>65</v>
      </c>
      <c r="P7">
        <v>11435</v>
      </c>
      <c r="Q7" t="s">
        <v>40</v>
      </c>
    </row>
    <row r="8" spans="1:17">
      <c r="A8" s="4" t="str">
        <f>HYPERLINK("https://www.analog.com/en/ADXL716#details", "ADXL716")</f>
        <v>ADXL716</v>
      </c>
      <c r="B8" t="s">
        <v>66</v>
      </c>
      <c r="C8" t="s">
        <v>25</v>
      </c>
      <c r="D8" t="s">
        <v>25</v>
      </c>
      <c r="E8">
        <v>1</v>
      </c>
      <c r="F8" t="s">
        <v>25</v>
      </c>
      <c r="G8" t="s">
        <v>67</v>
      </c>
      <c r="H8" t="s">
        <v>68</v>
      </c>
      <c r="I8" t="s">
        <v>25</v>
      </c>
      <c r="J8" t="s">
        <v>25</v>
      </c>
      <c r="K8" t="s">
        <v>48</v>
      </c>
      <c r="L8" t="s">
        <v>25</v>
      </c>
      <c r="M8" t="s">
        <v>69</v>
      </c>
      <c r="N8" t="s">
        <v>70</v>
      </c>
      <c r="O8" t="s">
        <v>71</v>
      </c>
      <c r="P8">
        <v>0</v>
      </c>
      <c r="Q8" t="s">
        <v>72</v>
      </c>
    </row>
    <row r="9" spans="1:17">
      <c r="A9" s="4" t="str">
        <f>HYPERLINK("https://www.analog.com/en/ADXL380#details", "ADXL380")</f>
        <v>ADXL380</v>
      </c>
      <c r="B9" t="s">
        <v>41</v>
      </c>
      <c r="C9" t="s">
        <v>57</v>
      </c>
      <c r="D9" t="s">
        <v>25</v>
      </c>
      <c r="E9">
        <v>3</v>
      </c>
      <c r="F9" t="s">
        <v>73</v>
      </c>
      <c r="G9" t="s">
        <v>44</v>
      </c>
      <c r="H9" t="s">
        <v>45</v>
      </c>
      <c r="I9" t="s">
        <v>46</v>
      </c>
      <c r="J9" t="s">
        <v>47</v>
      </c>
      <c r="K9" t="s">
        <v>74</v>
      </c>
      <c r="L9" t="s">
        <v>75</v>
      </c>
      <c r="M9" t="s">
        <v>49</v>
      </c>
      <c r="N9" t="s">
        <v>76</v>
      </c>
      <c r="O9" t="s">
        <v>77</v>
      </c>
      <c r="P9">
        <v>19505</v>
      </c>
      <c r="Q9" t="s">
        <v>40</v>
      </c>
    </row>
    <row r="10" spans="1:17">
      <c r="A10" s="4" t="str">
        <f>HYPERLINK("https://www.analog.com/en/ADXL358#details", "ADXL358")</f>
        <v>ADXL358</v>
      </c>
      <c r="B10" t="s">
        <v>78</v>
      </c>
      <c r="C10" t="s">
        <v>79</v>
      </c>
      <c r="D10" t="s">
        <v>58</v>
      </c>
      <c r="E10">
        <v>3</v>
      </c>
      <c r="F10" t="s">
        <v>80</v>
      </c>
      <c r="G10" t="s">
        <v>44</v>
      </c>
      <c r="H10" t="s">
        <v>45</v>
      </c>
      <c r="I10" t="s">
        <v>25</v>
      </c>
      <c r="J10" t="s">
        <v>47</v>
      </c>
      <c r="K10" t="s">
        <v>48</v>
      </c>
      <c r="L10" t="s">
        <v>81</v>
      </c>
      <c r="M10" t="s">
        <v>82</v>
      </c>
      <c r="N10" t="s">
        <v>83</v>
      </c>
      <c r="O10" t="s">
        <v>84</v>
      </c>
      <c r="P10">
        <v>6000</v>
      </c>
      <c r="Q10" t="s">
        <v>40</v>
      </c>
    </row>
    <row r="11" spans="1:17">
      <c r="A11" s="4" t="str">
        <f>HYPERLINK("https://www.analog.com/en/ADXL359#details", "ADXL359")</f>
        <v>ADXL359</v>
      </c>
      <c r="B11" t="s">
        <v>85</v>
      </c>
      <c r="C11" t="s">
        <v>57</v>
      </c>
      <c r="D11" t="s">
        <v>58</v>
      </c>
      <c r="E11">
        <v>3</v>
      </c>
      <c r="F11" t="s">
        <v>86</v>
      </c>
      <c r="G11" t="s">
        <v>44</v>
      </c>
      <c r="H11" t="s">
        <v>45</v>
      </c>
      <c r="I11" t="s">
        <v>87</v>
      </c>
      <c r="J11" t="s">
        <v>47</v>
      </c>
      <c r="K11" t="s">
        <v>48</v>
      </c>
      <c r="L11" t="s">
        <v>88</v>
      </c>
      <c r="M11" t="s">
        <v>89</v>
      </c>
      <c r="N11" t="s">
        <v>90</v>
      </c>
      <c r="O11" t="s">
        <v>91</v>
      </c>
      <c r="P11">
        <v>39</v>
      </c>
      <c r="Q11" t="s">
        <v>40</v>
      </c>
    </row>
    <row r="12" spans="1:17">
      <c r="A12" s="4" t="str">
        <f>HYPERLINK("https://www.analog.com/en/ADXL314#details", "ADXL314")</f>
        <v>ADXL314</v>
      </c>
      <c r="B12" t="s">
        <v>92</v>
      </c>
      <c r="C12" t="s">
        <v>57</v>
      </c>
      <c r="D12">
        <v>200</v>
      </c>
      <c r="E12">
        <v>3</v>
      </c>
      <c r="F12" t="s">
        <v>93</v>
      </c>
      <c r="G12" t="s">
        <v>94</v>
      </c>
      <c r="H12" t="s">
        <v>45</v>
      </c>
      <c r="I12" t="s">
        <v>34</v>
      </c>
      <c r="J12" t="s">
        <v>47</v>
      </c>
      <c r="K12" t="s">
        <v>48</v>
      </c>
      <c r="L12" t="s">
        <v>95</v>
      </c>
      <c r="M12" t="s">
        <v>96</v>
      </c>
      <c r="N12" t="s">
        <v>25</v>
      </c>
      <c r="O12" t="s">
        <v>25</v>
      </c>
      <c r="P12">
        <v>1091</v>
      </c>
      <c r="Q12" t="s">
        <v>40</v>
      </c>
    </row>
    <row r="13" spans="1:17">
      <c r="A13" s="4" t="str">
        <f>HYPERLINK("https://www.analog.com/en/ADXL367#details", "ADXL367")</f>
        <v>ADXL367</v>
      </c>
      <c r="B13" t="s">
        <v>97</v>
      </c>
      <c r="C13" t="s">
        <v>57</v>
      </c>
      <c r="D13" t="s">
        <v>98</v>
      </c>
      <c r="E13">
        <v>3</v>
      </c>
      <c r="F13" t="s">
        <v>99</v>
      </c>
      <c r="G13" t="s">
        <v>100</v>
      </c>
      <c r="H13" t="s">
        <v>45</v>
      </c>
      <c r="I13" t="s">
        <v>34</v>
      </c>
      <c r="J13" t="s">
        <v>47</v>
      </c>
      <c r="K13" t="s">
        <v>35</v>
      </c>
      <c r="L13" t="s">
        <v>101</v>
      </c>
      <c r="M13" t="s">
        <v>102</v>
      </c>
      <c r="N13" t="s">
        <v>103</v>
      </c>
      <c r="O13" t="s">
        <v>104</v>
      </c>
      <c r="P13">
        <v>2021</v>
      </c>
      <c r="Q13" t="s">
        <v>40</v>
      </c>
    </row>
    <row r="14" spans="1:17">
      <c r="A14" s="4" t="str">
        <f>HYPERLINK("https://www.analog.com/en/ADXL371#details", "ADXL371")</f>
        <v>ADXL371</v>
      </c>
      <c r="B14" t="s">
        <v>105</v>
      </c>
      <c r="C14" t="s">
        <v>57</v>
      </c>
      <c r="D14">
        <v>200</v>
      </c>
      <c r="E14">
        <v>3</v>
      </c>
      <c r="F14" t="s">
        <v>106</v>
      </c>
      <c r="G14" t="s">
        <v>107</v>
      </c>
      <c r="H14" t="s">
        <v>108</v>
      </c>
      <c r="I14" t="s">
        <v>34</v>
      </c>
      <c r="J14" t="s">
        <v>47</v>
      </c>
      <c r="K14" t="s">
        <v>25</v>
      </c>
      <c r="L14" t="s">
        <v>25</v>
      </c>
      <c r="M14" t="s">
        <v>25</v>
      </c>
      <c r="N14" t="s">
        <v>109</v>
      </c>
      <c r="O14" t="s">
        <v>110</v>
      </c>
      <c r="P14">
        <v>4619</v>
      </c>
      <c r="Q14" t="s">
        <v>40</v>
      </c>
    </row>
    <row r="15" spans="1:17">
      <c r="A15" s="4" t="str">
        <f>HYPERLINK("https://www.analog.com/en/ADXL373#details", "ADXL373")</f>
        <v>ADXL373</v>
      </c>
      <c r="B15" t="s">
        <v>111</v>
      </c>
      <c r="C15" t="s">
        <v>57</v>
      </c>
      <c r="D15">
        <v>400</v>
      </c>
      <c r="E15">
        <v>3</v>
      </c>
      <c r="F15" t="s">
        <v>112</v>
      </c>
      <c r="G15" t="s">
        <v>113</v>
      </c>
      <c r="H15" t="s">
        <v>108</v>
      </c>
      <c r="I15" t="s">
        <v>34</v>
      </c>
      <c r="J15" t="s">
        <v>47</v>
      </c>
      <c r="K15" t="s">
        <v>114</v>
      </c>
      <c r="L15" t="s">
        <v>115</v>
      </c>
      <c r="M15" t="s">
        <v>116</v>
      </c>
      <c r="N15" t="s">
        <v>117</v>
      </c>
      <c r="O15" t="s">
        <v>118</v>
      </c>
      <c r="P15">
        <v>750</v>
      </c>
      <c r="Q15" t="s">
        <v>72</v>
      </c>
    </row>
    <row r="16" spans="1:17">
      <c r="A16" s="4" t="str">
        <f>HYPERLINK("https://www.analog.com/en/ADXL317#details", "ADXL317")</f>
        <v>ADXL317</v>
      </c>
      <c r="B16" t="s">
        <v>119</v>
      </c>
      <c r="C16" t="s">
        <v>57</v>
      </c>
      <c r="D16">
        <v>16</v>
      </c>
      <c r="E16">
        <v>3</v>
      </c>
      <c r="F16" t="s">
        <v>120</v>
      </c>
      <c r="G16" t="s">
        <v>121</v>
      </c>
      <c r="H16" t="s">
        <v>45</v>
      </c>
      <c r="I16" t="s">
        <v>122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>
        <v>0</v>
      </c>
      <c r="Q16" t="s">
        <v>40</v>
      </c>
    </row>
    <row r="17" spans="1:17">
      <c r="A17" s="4" t="str">
        <f>HYPERLINK("https://www.analog.com/en/ADCMXL1021-1#details", "ADCMXL1021-1")</f>
        <v>ADCMXL1021-1</v>
      </c>
      <c r="B17" t="s">
        <v>123</v>
      </c>
      <c r="C17" t="s">
        <v>57</v>
      </c>
      <c r="D17">
        <v>50</v>
      </c>
      <c r="E17">
        <v>1</v>
      </c>
      <c r="F17" t="s">
        <v>124</v>
      </c>
      <c r="G17" t="s">
        <v>121</v>
      </c>
      <c r="H17" t="s">
        <v>45</v>
      </c>
      <c r="I17" t="s">
        <v>125</v>
      </c>
      <c r="J17" t="s">
        <v>47</v>
      </c>
      <c r="K17" t="s">
        <v>114</v>
      </c>
      <c r="L17" t="s">
        <v>126</v>
      </c>
      <c r="M17" t="s">
        <v>127</v>
      </c>
      <c r="N17" t="s">
        <v>128</v>
      </c>
      <c r="O17" t="s">
        <v>129</v>
      </c>
      <c r="P17">
        <v>1</v>
      </c>
      <c r="Q17" t="s">
        <v>40</v>
      </c>
    </row>
    <row r="18" spans="1:17">
      <c r="A18" s="4" t="str">
        <f>HYPERLINK("https://www.analog.com/en/ADCMXL3021#details", "ADCMXL3021")</f>
        <v>ADCMXL3021</v>
      </c>
      <c r="B18" t="s">
        <v>130</v>
      </c>
      <c r="C18" t="s">
        <v>57</v>
      </c>
      <c r="D18">
        <v>50</v>
      </c>
      <c r="E18">
        <v>3</v>
      </c>
      <c r="F18" t="s">
        <v>131</v>
      </c>
      <c r="G18" t="s">
        <v>121</v>
      </c>
      <c r="H18" t="s">
        <v>45</v>
      </c>
      <c r="I18" t="s">
        <v>125</v>
      </c>
      <c r="J18" t="s">
        <v>47</v>
      </c>
      <c r="K18" t="s">
        <v>114</v>
      </c>
      <c r="L18" t="s">
        <v>132</v>
      </c>
      <c r="M18" t="s">
        <v>127</v>
      </c>
      <c r="N18" t="s">
        <v>133</v>
      </c>
      <c r="O18" t="s">
        <v>134</v>
      </c>
      <c r="P18">
        <v>23</v>
      </c>
      <c r="Q18" t="s">
        <v>72</v>
      </c>
    </row>
    <row r="19" spans="1:17">
      <c r="A19" s="4" t="str">
        <f>HYPERLINK("https://www.analog.com/en/ADXL1003#details", "ADXL1003")</f>
        <v>ADXL1003</v>
      </c>
      <c r="B19" t="s">
        <v>135</v>
      </c>
      <c r="C19" t="s">
        <v>79</v>
      </c>
      <c r="D19">
        <v>200</v>
      </c>
      <c r="E19">
        <v>1</v>
      </c>
      <c r="F19" t="s">
        <v>136</v>
      </c>
      <c r="G19" t="s">
        <v>121</v>
      </c>
      <c r="H19" t="s">
        <v>137</v>
      </c>
      <c r="I19" t="s">
        <v>25</v>
      </c>
      <c r="J19" t="s">
        <v>138</v>
      </c>
      <c r="K19" t="s">
        <v>48</v>
      </c>
      <c r="L19" t="s">
        <v>139</v>
      </c>
      <c r="M19" t="s">
        <v>140</v>
      </c>
      <c r="N19" t="s">
        <v>141</v>
      </c>
      <c r="O19" t="s">
        <v>142</v>
      </c>
      <c r="P19">
        <v>1384</v>
      </c>
      <c r="Q19" t="s">
        <v>40</v>
      </c>
    </row>
    <row r="20" spans="1:17">
      <c r="A20" s="4" t="str">
        <f>HYPERLINK("https://www.analog.com/en/ADXL1005#details", "ADXL1005")</f>
        <v>ADXL1005</v>
      </c>
      <c r="B20" t="s">
        <v>135</v>
      </c>
      <c r="C20" t="s">
        <v>79</v>
      </c>
      <c r="D20">
        <v>100</v>
      </c>
      <c r="E20">
        <v>1</v>
      </c>
      <c r="F20" t="s">
        <v>136</v>
      </c>
      <c r="G20" t="s">
        <v>121</v>
      </c>
      <c r="H20" t="s">
        <v>137</v>
      </c>
      <c r="I20" t="s">
        <v>25</v>
      </c>
      <c r="J20" t="s">
        <v>138</v>
      </c>
      <c r="K20" t="s">
        <v>48</v>
      </c>
      <c r="L20" t="s">
        <v>143</v>
      </c>
      <c r="M20" t="s">
        <v>140</v>
      </c>
      <c r="N20" t="s">
        <v>144</v>
      </c>
      <c r="O20" t="s">
        <v>145</v>
      </c>
      <c r="P20">
        <v>13064</v>
      </c>
      <c r="Q20" t="s">
        <v>40</v>
      </c>
    </row>
    <row r="21" spans="1:17">
      <c r="A21" s="4" t="str">
        <f>HYPERLINK("https://www.analog.com/en/ADXL1004#details", "ADXL1004")</f>
        <v>ADXL1004</v>
      </c>
      <c r="B21" t="s">
        <v>135</v>
      </c>
      <c r="C21" t="s">
        <v>79</v>
      </c>
      <c r="D21">
        <v>500</v>
      </c>
      <c r="E21">
        <v>1</v>
      </c>
      <c r="F21" t="s">
        <v>136</v>
      </c>
      <c r="G21" t="s">
        <v>121</v>
      </c>
      <c r="H21" t="s">
        <v>137</v>
      </c>
      <c r="I21" t="s">
        <v>25</v>
      </c>
      <c r="J21" t="s">
        <v>138</v>
      </c>
      <c r="K21" t="s">
        <v>48</v>
      </c>
      <c r="L21" t="s">
        <v>146</v>
      </c>
      <c r="M21" t="s">
        <v>140</v>
      </c>
      <c r="N21" t="s">
        <v>147</v>
      </c>
      <c r="O21" t="s">
        <v>148</v>
      </c>
      <c r="P21">
        <v>1132</v>
      </c>
      <c r="Q21" t="s">
        <v>40</v>
      </c>
    </row>
    <row r="22" spans="1:17">
      <c r="A22" s="4" t="str">
        <f>HYPERLINK("https://www.analog.com/en/ADXL251#details", "ADXL251")</f>
        <v>ADXL251</v>
      </c>
      <c r="B22" t="s">
        <v>149</v>
      </c>
      <c r="C22" t="s">
        <v>25</v>
      </c>
      <c r="D22" t="s">
        <v>150</v>
      </c>
      <c r="E22">
        <v>2</v>
      </c>
      <c r="F22" t="s">
        <v>151</v>
      </c>
      <c r="G22" t="s">
        <v>152</v>
      </c>
      <c r="H22" t="s">
        <v>153</v>
      </c>
      <c r="I22" t="s">
        <v>154</v>
      </c>
      <c r="J22" t="s">
        <v>47</v>
      </c>
      <c r="K22" t="s">
        <v>48</v>
      </c>
      <c r="L22" t="s">
        <v>25</v>
      </c>
      <c r="M22" t="s">
        <v>155</v>
      </c>
      <c r="N22" t="s">
        <v>156</v>
      </c>
      <c r="O22" t="s">
        <v>157</v>
      </c>
      <c r="P22">
        <v>0</v>
      </c>
      <c r="Q22" t="s">
        <v>72</v>
      </c>
    </row>
    <row r="23" spans="1:17">
      <c r="A23" s="4" t="str">
        <f>HYPERLINK("https://www.analog.com/en/ADXL1001#details", "ADXL1001")</f>
        <v>ADXL1001</v>
      </c>
      <c r="B23" t="s">
        <v>158</v>
      </c>
      <c r="C23" t="s">
        <v>79</v>
      </c>
      <c r="D23">
        <v>100</v>
      </c>
      <c r="E23">
        <v>1</v>
      </c>
      <c r="F23" t="s">
        <v>136</v>
      </c>
      <c r="G23" t="s">
        <v>121</v>
      </c>
      <c r="H23" t="s">
        <v>137</v>
      </c>
      <c r="I23" t="s">
        <v>25</v>
      </c>
      <c r="J23" t="s">
        <v>138</v>
      </c>
      <c r="K23" t="s">
        <v>48</v>
      </c>
      <c r="L23" t="s">
        <v>159</v>
      </c>
      <c r="M23" t="s">
        <v>140</v>
      </c>
      <c r="N23" t="s">
        <v>160</v>
      </c>
      <c r="O23" t="s">
        <v>161</v>
      </c>
      <c r="P23">
        <v>1340</v>
      </c>
      <c r="Q23" t="s">
        <v>40</v>
      </c>
    </row>
    <row r="24" spans="1:17">
      <c r="A24" s="4" t="str">
        <f>HYPERLINK("https://www.analog.com/en/ADXL1002#details", "ADXL1002")</f>
        <v>ADXL1002</v>
      </c>
      <c r="B24" t="s">
        <v>162</v>
      </c>
      <c r="C24" t="s">
        <v>79</v>
      </c>
      <c r="D24">
        <v>50</v>
      </c>
      <c r="E24">
        <v>1</v>
      </c>
      <c r="F24" t="s">
        <v>136</v>
      </c>
      <c r="G24" t="s">
        <v>121</v>
      </c>
      <c r="H24" t="s">
        <v>137</v>
      </c>
      <c r="I24" t="s">
        <v>25</v>
      </c>
      <c r="J24" t="s">
        <v>138</v>
      </c>
      <c r="K24" t="s">
        <v>48</v>
      </c>
      <c r="L24" t="s">
        <v>163</v>
      </c>
      <c r="M24" t="s">
        <v>140</v>
      </c>
      <c r="N24" t="s">
        <v>164</v>
      </c>
      <c r="O24" t="s">
        <v>165</v>
      </c>
      <c r="P24">
        <v>257</v>
      </c>
      <c r="Q24" t="s">
        <v>40</v>
      </c>
    </row>
    <row r="25" spans="1:17">
      <c r="A25" s="4" t="str">
        <f>HYPERLINK("https://www.analog.com/en/ADXL372#details", "ADXL372")</f>
        <v>ADXL372</v>
      </c>
      <c r="B25" t="s">
        <v>166</v>
      </c>
      <c r="C25" t="s">
        <v>57</v>
      </c>
      <c r="D25">
        <v>200</v>
      </c>
      <c r="E25">
        <v>3</v>
      </c>
      <c r="F25" t="s">
        <v>106</v>
      </c>
      <c r="G25" t="s">
        <v>113</v>
      </c>
      <c r="H25" t="s">
        <v>108</v>
      </c>
      <c r="I25" t="s">
        <v>34</v>
      </c>
      <c r="J25" t="s">
        <v>167</v>
      </c>
      <c r="K25" t="s">
        <v>114</v>
      </c>
      <c r="L25" t="s">
        <v>168</v>
      </c>
      <c r="M25" t="s">
        <v>116</v>
      </c>
      <c r="N25" t="s">
        <v>169</v>
      </c>
      <c r="O25" t="s">
        <v>170</v>
      </c>
      <c r="P25">
        <v>2730</v>
      </c>
      <c r="Q25" t="s">
        <v>40</v>
      </c>
    </row>
    <row r="26" spans="1:17">
      <c r="A26" s="4" t="str">
        <f>HYPERLINK("https://www.analog.com/en/ADXL356#details", "ADXL356")</f>
        <v>ADXL356</v>
      </c>
      <c r="B26" t="s">
        <v>78</v>
      </c>
      <c r="C26" t="s">
        <v>79</v>
      </c>
      <c r="D26" t="s">
        <v>58</v>
      </c>
      <c r="E26">
        <v>3</v>
      </c>
      <c r="F26" t="s">
        <v>80</v>
      </c>
      <c r="G26" t="s">
        <v>44</v>
      </c>
      <c r="H26" t="s">
        <v>45</v>
      </c>
      <c r="I26" t="s">
        <v>25</v>
      </c>
      <c r="J26" t="s">
        <v>47</v>
      </c>
      <c r="K26" t="s">
        <v>171</v>
      </c>
      <c r="L26" t="s">
        <v>172</v>
      </c>
      <c r="M26" t="s">
        <v>173</v>
      </c>
      <c r="N26" t="s">
        <v>174</v>
      </c>
      <c r="O26" t="s">
        <v>175</v>
      </c>
      <c r="P26">
        <v>375</v>
      </c>
      <c r="Q26" t="s">
        <v>40</v>
      </c>
    </row>
    <row r="27" spans="1:17">
      <c r="A27" s="4" t="str">
        <f>HYPERLINK("https://www.analog.com/en/ADXL357#details", "ADXL357")</f>
        <v>ADXL357</v>
      </c>
      <c r="B27" t="s">
        <v>176</v>
      </c>
      <c r="C27" t="s">
        <v>57</v>
      </c>
      <c r="D27" t="s">
        <v>58</v>
      </c>
      <c r="E27">
        <v>3</v>
      </c>
      <c r="F27" t="s">
        <v>86</v>
      </c>
      <c r="G27" t="s">
        <v>44</v>
      </c>
      <c r="H27" t="s">
        <v>45</v>
      </c>
      <c r="I27" t="s">
        <v>34</v>
      </c>
      <c r="J27" t="s">
        <v>47</v>
      </c>
      <c r="K27" t="s">
        <v>48</v>
      </c>
      <c r="L27" t="s">
        <v>177</v>
      </c>
      <c r="M27" t="s">
        <v>173</v>
      </c>
      <c r="N27" t="s">
        <v>178</v>
      </c>
      <c r="O27" t="s">
        <v>179</v>
      </c>
      <c r="P27">
        <v>0</v>
      </c>
      <c r="Q27" t="s">
        <v>40</v>
      </c>
    </row>
    <row r="28" spans="1:17">
      <c r="A28" s="4" t="str">
        <f>HYPERLINK("https://www.analog.com/en/ADXL354#details", "ADXL354")</f>
        <v>ADXL354</v>
      </c>
      <c r="B28" t="s">
        <v>180</v>
      </c>
      <c r="C28" t="s">
        <v>79</v>
      </c>
      <c r="D28" t="s">
        <v>98</v>
      </c>
      <c r="E28">
        <v>3</v>
      </c>
      <c r="F28" t="s">
        <v>80</v>
      </c>
      <c r="G28" t="s">
        <v>44</v>
      </c>
      <c r="H28" t="s">
        <v>45</v>
      </c>
      <c r="I28" t="s">
        <v>87</v>
      </c>
      <c r="J28" t="s">
        <v>47</v>
      </c>
      <c r="K28" t="s">
        <v>48</v>
      </c>
      <c r="L28" t="s">
        <v>181</v>
      </c>
      <c r="M28" t="s">
        <v>173</v>
      </c>
      <c r="N28" t="s">
        <v>182</v>
      </c>
      <c r="O28" t="s">
        <v>183</v>
      </c>
      <c r="P28">
        <v>4674</v>
      </c>
      <c r="Q28" t="s">
        <v>40</v>
      </c>
    </row>
    <row r="29" spans="1:17">
      <c r="A29" s="4" t="str">
        <f>HYPERLINK("https://www.analog.com/en/ADXL355#details", "ADXL355")</f>
        <v>ADXL355</v>
      </c>
      <c r="B29" t="s">
        <v>180</v>
      </c>
      <c r="C29" t="s">
        <v>57</v>
      </c>
      <c r="D29" t="s">
        <v>98</v>
      </c>
      <c r="E29">
        <v>3</v>
      </c>
      <c r="F29" t="s">
        <v>86</v>
      </c>
      <c r="G29" t="s">
        <v>44</v>
      </c>
      <c r="H29" t="s">
        <v>45</v>
      </c>
      <c r="I29" t="s">
        <v>34</v>
      </c>
      <c r="J29" t="s">
        <v>47</v>
      </c>
      <c r="K29" t="s">
        <v>48</v>
      </c>
      <c r="L29" t="s">
        <v>184</v>
      </c>
      <c r="M29" t="s">
        <v>173</v>
      </c>
      <c r="N29" t="s">
        <v>185</v>
      </c>
      <c r="O29" t="s">
        <v>186</v>
      </c>
      <c r="P29">
        <v>255</v>
      </c>
      <c r="Q29" t="s">
        <v>40</v>
      </c>
    </row>
    <row r="30" spans="1:17">
      <c r="A30" s="4" t="str">
        <f>HYPERLINK("https://www.analog.com/en/ADXL151#details", "ADXL151")</f>
        <v>ADXL151</v>
      </c>
      <c r="B30" t="s">
        <v>187</v>
      </c>
      <c r="C30" t="s">
        <v>57</v>
      </c>
      <c r="D30" t="s">
        <v>188</v>
      </c>
      <c r="E30">
        <v>1</v>
      </c>
      <c r="F30" t="s">
        <v>120</v>
      </c>
      <c r="G30" t="s">
        <v>67</v>
      </c>
      <c r="H30" t="s">
        <v>153</v>
      </c>
      <c r="I30" t="s">
        <v>189</v>
      </c>
      <c r="J30" t="s">
        <v>47</v>
      </c>
      <c r="K30" t="s">
        <v>48</v>
      </c>
      <c r="L30" t="s">
        <v>25</v>
      </c>
      <c r="M30" t="s">
        <v>69</v>
      </c>
      <c r="N30" t="s">
        <v>190</v>
      </c>
      <c r="O30" t="s">
        <v>191</v>
      </c>
      <c r="P30">
        <v>0</v>
      </c>
      <c r="Q30" t="s">
        <v>192</v>
      </c>
    </row>
    <row r="31" spans="1:17">
      <c r="A31" s="4" t="str">
        <f>HYPERLINK("https://www.analog.com/en/ADXL316#details", "ADXL316")</f>
        <v>ADXL316</v>
      </c>
      <c r="B31" t="s">
        <v>193</v>
      </c>
      <c r="C31" t="s">
        <v>79</v>
      </c>
      <c r="D31">
        <v>16</v>
      </c>
      <c r="E31">
        <v>3</v>
      </c>
      <c r="F31" t="s">
        <v>194</v>
      </c>
      <c r="G31" t="s">
        <v>195</v>
      </c>
      <c r="H31" t="s">
        <v>45</v>
      </c>
      <c r="I31" t="s">
        <v>25</v>
      </c>
      <c r="J31" t="s">
        <v>25</v>
      </c>
      <c r="K31" t="s">
        <v>114</v>
      </c>
      <c r="L31" t="s">
        <v>196</v>
      </c>
      <c r="M31" t="s">
        <v>69</v>
      </c>
      <c r="N31" t="s">
        <v>197</v>
      </c>
      <c r="O31" t="s">
        <v>198</v>
      </c>
      <c r="P31">
        <v>195</v>
      </c>
      <c r="Q31" t="s">
        <v>40</v>
      </c>
    </row>
    <row r="32" spans="1:17">
      <c r="A32" s="4" t="str">
        <f>HYPERLINK("https://www.analog.com/en/ADXL700#details", "ADXL700")</f>
        <v>ADXL700</v>
      </c>
      <c r="B32" t="s">
        <v>199</v>
      </c>
      <c r="C32" t="s">
        <v>57</v>
      </c>
      <c r="D32">
        <v>14.2</v>
      </c>
      <c r="E32">
        <v>3</v>
      </c>
      <c r="F32" t="s">
        <v>120</v>
      </c>
      <c r="G32" t="s">
        <v>200</v>
      </c>
      <c r="H32" t="s">
        <v>201</v>
      </c>
      <c r="I32" t="s">
        <v>125</v>
      </c>
      <c r="J32" t="s">
        <v>47</v>
      </c>
      <c r="K32" t="s">
        <v>114</v>
      </c>
      <c r="L32" t="s">
        <v>25</v>
      </c>
      <c r="M32" t="s">
        <v>202</v>
      </c>
      <c r="N32" t="s">
        <v>203</v>
      </c>
      <c r="O32" t="s">
        <v>204</v>
      </c>
      <c r="P32">
        <v>0</v>
      </c>
      <c r="Q32" t="s">
        <v>40</v>
      </c>
    </row>
    <row r="33" spans="1:17">
      <c r="A33" s="4" t="str">
        <f>HYPERLINK("https://www.analog.com/en/ADXL185B#details", "ADXL185B")</f>
        <v>ADXL185B</v>
      </c>
      <c r="B33" t="s">
        <v>205</v>
      </c>
      <c r="C33" t="s">
        <v>25</v>
      </c>
      <c r="D33" t="s">
        <v>206</v>
      </c>
      <c r="E33">
        <v>1</v>
      </c>
      <c r="F33" t="s">
        <v>120</v>
      </c>
      <c r="G33" t="s">
        <v>201</v>
      </c>
      <c r="H33" t="s">
        <v>153</v>
      </c>
      <c r="I33" t="s">
        <v>189</v>
      </c>
      <c r="J33" t="s">
        <v>47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>
        <v>0</v>
      </c>
      <c r="Q33" t="s">
        <v>192</v>
      </c>
    </row>
    <row r="34" spans="1:17">
      <c r="A34" s="4" t="str">
        <f>HYPERLINK("https://www.analog.com/en/ADXL189B#details", "ADXL189B")</f>
        <v>ADXL189B</v>
      </c>
      <c r="B34" t="s">
        <v>207</v>
      </c>
      <c r="C34" t="s">
        <v>57</v>
      </c>
      <c r="D34" t="s">
        <v>206</v>
      </c>
      <c r="E34">
        <v>1</v>
      </c>
      <c r="F34" t="s">
        <v>120</v>
      </c>
      <c r="G34" t="s">
        <v>201</v>
      </c>
      <c r="H34" t="s">
        <v>153</v>
      </c>
      <c r="I34" t="s">
        <v>189</v>
      </c>
      <c r="J34" t="s">
        <v>47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>
        <v>0</v>
      </c>
      <c r="Q34" t="s">
        <v>192</v>
      </c>
    </row>
    <row r="35" spans="1:17">
      <c r="A35" s="4" t="str">
        <f>HYPERLINK("https://www.analog.com/en/ADXL363#details", "ADXL363")</f>
        <v>ADXL363</v>
      </c>
      <c r="B35" t="s">
        <v>208</v>
      </c>
      <c r="C35" t="s">
        <v>57</v>
      </c>
      <c r="D35" t="s">
        <v>98</v>
      </c>
      <c r="E35">
        <v>3</v>
      </c>
      <c r="F35" t="s">
        <v>209</v>
      </c>
      <c r="G35" t="s">
        <v>113</v>
      </c>
      <c r="H35" t="s">
        <v>108</v>
      </c>
      <c r="I35" t="s">
        <v>125</v>
      </c>
      <c r="J35" t="s">
        <v>47</v>
      </c>
      <c r="K35" t="s">
        <v>35</v>
      </c>
      <c r="L35" t="s">
        <v>210</v>
      </c>
      <c r="M35" t="s">
        <v>116</v>
      </c>
      <c r="N35" t="s">
        <v>211</v>
      </c>
      <c r="O35" t="s">
        <v>212</v>
      </c>
      <c r="P35">
        <v>9319</v>
      </c>
      <c r="Q35" t="s">
        <v>40</v>
      </c>
    </row>
    <row r="36" spans="1:17">
      <c r="A36" s="4" t="str">
        <f>HYPERLINK("https://www.analog.com/en/ADXL375#details", "ADXL375")</f>
        <v>ADXL375</v>
      </c>
      <c r="B36" t="s">
        <v>213</v>
      </c>
      <c r="C36" t="s">
        <v>57</v>
      </c>
      <c r="D36">
        <v>200</v>
      </c>
      <c r="E36">
        <v>3</v>
      </c>
      <c r="F36" t="s">
        <v>214</v>
      </c>
      <c r="G36" t="s">
        <v>94</v>
      </c>
      <c r="H36" t="s">
        <v>45</v>
      </c>
      <c r="I36" t="s">
        <v>34</v>
      </c>
      <c r="J36" t="s">
        <v>167</v>
      </c>
      <c r="K36" t="s">
        <v>215</v>
      </c>
      <c r="L36" t="s">
        <v>216</v>
      </c>
      <c r="M36" t="s">
        <v>217</v>
      </c>
      <c r="N36" t="s">
        <v>218</v>
      </c>
      <c r="O36" t="s">
        <v>219</v>
      </c>
      <c r="P36">
        <v>968</v>
      </c>
      <c r="Q36" t="s">
        <v>40</v>
      </c>
    </row>
    <row r="37" spans="1:17">
      <c r="A37" s="4" t="str">
        <f>HYPERLINK("https://www.analog.com/en/ADXL313#details", "ADXL313")</f>
        <v>ADXL313</v>
      </c>
      <c r="B37" t="s">
        <v>220</v>
      </c>
      <c r="C37" t="s">
        <v>57</v>
      </c>
      <c r="D37" t="s">
        <v>221</v>
      </c>
      <c r="E37">
        <v>3</v>
      </c>
      <c r="F37" t="s">
        <v>93</v>
      </c>
      <c r="G37" t="s">
        <v>94</v>
      </c>
      <c r="H37" t="s">
        <v>45</v>
      </c>
      <c r="I37" t="s">
        <v>34</v>
      </c>
      <c r="J37" t="s">
        <v>25</v>
      </c>
      <c r="K37" t="s">
        <v>114</v>
      </c>
      <c r="L37" t="s">
        <v>222</v>
      </c>
      <c r="M37" t="s">
        <v>223</v>
      </c>
      <c r="N37" t="s">
        <v>224</v>
      </c>
      <c r="O37" t="s">
        <v>225</v>
      </c>
      <c r="P37">
        <v>0</v>
      </c>
      <c r="Q37" t="s">
        <v>40</v>
      </c>
    </row>
    <row r="38" spans="1:17">
      <c r="A38" s="4" t="str">
        <f>HYPERLINK("https://www.analog.com/en/ADXL195#details", "ADXL195")</f>
        <v>ADXL195</v>
      </c>
      <c r="B38" t="s">
        <v>226</v>
      </c>
      <c r="C38" t="s">
        <v>25</v>
      </c>
      <c r="D38">
        <v>120</v>
      </c>
      <c r="E38">
        <v>1</v>
      </c>
      <c r="F38" t="s">
        <v>25</v>
      </c>
      <c r="G38" t="s">
        <v>200</v>
      </c>
      <c r="H38" t="s">
        <v>201</v>
      </c>
      <c r="I38" t="s">
        <v>125</v>
      </c>
      <c r="J38" t="s">
        <v>47</v>
      </c>
      <c r="K38" t="s">
        <v>25</v>
      </c>
      <c r="L38" t="s">
        <v>25</v>
      </c>
      <c r="M38" t="s">
        <v>25</v>
      </c>
      <c r="N38" t="s">
        <v>227</v>
      </c>
      <c r="O38" t="s">
        <v>228</v>
      </c>
      <c r="P38">
        <v>0</v>
      </c>
      <c r="Q38" t="s">
        <v>229</v>
      </c>
    </row>
    <row r="39" spans="1:17">
      <c r="A39" s="4" t="str">
        <f>HYPERLINK("https://www.analog.com/en/ADXL288#details", "ADXL288")</f>
        <v>ADXL288</v>
      </c>
      <c r="B39" t="s">
        <v>230</v>
      </c>
      <c r="C39" t="s">
        <v>57</v>
      </c>
      <c r="D39">
        <v>120</v>
      </c>
      <c r="E39">
        <v>2</v>
      </c>
      <c r="F39" t="s">
        <v>231</v>
      </c>
      <c r="G39" t="s">
        <v>152</v>
      </c>
      <c r="H39" t="s">
        <v>137</v>
      </c>
      <c r="I39" t="s">
        <v>125</v>
      </c>
      <c r="J39" t="s">
        <v>47</v>
      </c>
      <c r="K39" t="s">
        <v>114</v>
      </c>
      <c r="L39" t="s">
        <v>25</v>
      </c>
      <c r="M39" t="s">
        <v>232</v>
      </c>
      <c r="N39" t="s">
        <v>233</v>
      </c>
      <c r="O39" t="s">
        <v>234</v>
      </c>
      <c r="P39">
        <v>0</v>
      </c>
      <c r="Q39" t="s">
        <v>192</v>
      </c>
    </row>
    <row r="40" spans="1:17">
      <c r="A40" s="4" t="str">
        <f>HYPERLINK("https://www.analog.com/en/ADXL295#details", "ADXL295")</f>
        <v>ADXL295</v>
      </c>
      <c r="B40" t="s">
        <v>235</v>
      </c>
      <c r="C40" t="s">
        <v>57</v>
      </c>
      <c r="D40">
        <v>120</v>
      </c>
      <c r="E40">
        <v>2</v>
      </c>
      <c r="F40" t="s">
        <v>231</v>
      </c>
      <c r="G40" t="s">
        <v>200</v>
      </c>
      <c r="H40" t="s">
        <v>201</v>
      </c>
      <c r="I40" t="s">
        <v>125</v>
      </c>
      <c r="J40" t="s">
        <v>47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>
        <v>0</v>
      </c>
      <c r="Q40" t="s">
        <v>229</v>
      </c>
    </row>
    <row r="41" spans="1:17">
      <c r="A41" s="4" t="str">
        <f>HYPERLINK("https://www.analog.com/en/ADXL377#details", "ADXL377")</f>
        <v>ADXL377</v>
      </c>
      <c r="B41" t="s">
        <v>236</v>
      </c>
      <c r="C41" t="s">
        <v>25</v>
      </c>
      <c r="D41">
        <v>200</v>
      </c>
      <c r="E41">
        <v>3</v>
      </c>
      <c r="F41" t="s">
        <v>237</v>
      </c>
      <c r="G41" t="s">
        <v>195</v>
      </c>
      <c r="H41" t="s">
        <v>45</v>
      </c>
      <c r="I41" t="s">
        <v>25</v>
      </c>
      <c r="J41" t="s">
        <v>167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>
        <v>0</v>
      </c>
      <c r="Q41" t="s">
        <v>192</v>
      </c>
    </row>
    <row r="42" spans="1:17">
      <c r="A42" s="4" t="str">
        <f>HYPERLINK("https://www.analog.com/en/ADXL362#details", "ADXL362")</f>
        <v>ADXL362</v>
      </c>
      <c r="B42" t="s">
        <v>238</v>
      </c>
      <c r="C42" t="s">
        <v>57</v>
      </c>
      <c r="D42" t="s">
        <v>98</v>
      </c>
      <c r="E42">
        <v>3</v>
      </c>
      <c r="F42" t="s">
        <v>209</v>
      </c>
      <c r="G42" t="s">
        <v>113</v>
      </c>
      <c r="H42" t="s">
        <v>108</v>
      </c>
      <c r="I42" t="s">
        <v>125</v>
      </c>
      <c r="J42" t="s">
        <v>47</v>
      </c>
      <c r="K42" t="s">
        <v>35</v>
      </c>
      <c r="L42" t="s">
        <v>239</v>
      </c>
      <c r="M42" t="s">
        <v>116</v>
      </c>
      <c r="N42" t="s">
        <v>240</v>
      </c>
      <c r="O42" t="s">
        <v>241</v>
      </c>
      <c r="P42">
        <v>15180</v>
      </c>
      <c r="Q42" t="s">
        <v>40</v>
      </c>
    </row>
    <row r="43" spans="1:17">
      <c r="A43" s="4" t="str">
        <f>HYPERLINK("https://www.analog.com/en/ADXL343#details", "ADXL343")</f>
        <v>ADXL343</v>
      </c>
      <c r="B43" t="s">
        <v>242</v>
      </c>
      <c r="C43" t="s">
        <v>57</v>
      </c>
      <c r="D43" t="s">
        <v>243</v>
      </c>
      <c r="E43">
        <v>3</v>
      </c>
      <c r="F43" t="s">
        <v>244</v>
      </c>
      <c r="G43" t="s">
        <v>94</v>
      </c>
      <c r="H43" t="s">
        <v>45</v>
      </c>
      <c r="I43" t="s">
        <v>34</v>
      </c>
      <c r="J43" t="s">
        <v>47</v>
      </c>
      <c r="K43" t="s">
        <v>35</v>
      </c>
      <c r="L43" t="s">
        <v>245</v>
      </c>
      <c r="M43" t="s">
        <v>217</v>
      </c>
      <c r="N43" t="s">
        <v>246</v>
      </c>
      <c r="O43" t="s">
        <v>247</v>
      </c>
      <c r="P43">
        <v>5399</v>
      </c>
      <c r="Q43" t="s">
        <v>40</v>
      </c>
    </row>
    <row r="44" spans="1:17">
      <c r="A44" s="4" t="str">
        <f>HYPERLINK("https://www.analog.com/en/ADXL344#details", "ADXL344")</f>
        <v>ADXL344</v>
      </c>
      <c r="B44" t="s">
        <v>248</v>
      </c>
      <c r="C44" t="s">
        <v>57</v>
      </c>
      <c r="D44" t="s">
        <v>243</v>
      </c>
      <c r="E44">
        <v>3</v>
      </c>
      <c r="F44" t="s">
        <v>244</v>
      </c>
      <c r="G44" t="s">
        <v>249</v>
      </c>
      <c r="H44" t="s">
        <v>250</v>
      </c>
      <c r="I44" t="s">
        <v>34</v>
      </c>
      <c r="J44" t="s">
        <v>47</v>
      </c>
      <c r="K44" t="s">
        <v>35</v>
      </c>
      <c r="L44" t="s">
        <v>251</v>
      </c>
      <c r="M44" t="s">
        <v>252</v>
      </c>
      <c r="N44" t="s">
        <v>253</v>
      </c>
      <c r="O44" t="s">
        <v>254</v>
      </c>
      <c r="P44">
        <v>597</v>
      </c>
      <c r="Q44" t="s">
        <v>40</v>
      </c>
    </row>
    <row r="45" spans="1:17">
      <c r="A45" s="4" t="str">
        <f>HYPERLINK("https://www.analog.com/en/ADXL350#details", "ADXL350")</f>
        <v>ADXL350</v>
      </c>
      <c r="B45" t="s">
        <v>255</v>
      </c>
      <c r="C45" t="s">
        <v>57</v>
      </c>
      <c r="D45" t="s">
        <v>256</v>
      </c>
      <c r="E45">
        <v>3</v>
      </c>
      <c r="F45" t="s">
        <v>257</v>
      </c>
      <c r="G45" t="s">
        <v>94</v>
      </c>
      <c r="H45" t="s">
        <v>45</v>
      </c>
      <c r="I45" t="s">
        <v>34</v>
      </c>
      <c r="J45" t="s">
        <v>25</v>
      </c>
      <c r="K45" t="s">
        <v>35</v>
      </c>
      <c r="L45" t="s">
        <v>258</v>
      </c>
      <c r="M45" t="s">
        <v>259</v>
      </c>
      <c r="N45" t="s">
        <v>260</v>
      </c>
      <c r="O45" t="s">
        <v>261</v>
      </c>
      <c r="P45">
        <v>1858</v>
      </c>
      <c r="Q45" t="s">
        <v>40</v>
      </c>
    </row>
    <row r="46" spans="1:17">
      <c r="A46" s="4" t="str">
        <f>HYPERLINK("https://www.analog.com/en/ADXL206#details", "ADXL206")</f>
        <v>ADXL206</v>
      </c>
      <c r="B46" t="s">
        <v>262</v>
      </c>
      <c r="C46" t="s">
        <v>79</v>
      </c>
      <c r="D46">
        <v>5</v>
      </c>
      <c r="E46">
        <v>2</v>
      </c>
      <c r="F46" t="s">
        <v>263</v>
      </c>
      <c r="G46" t="s">
        <v>264</v>
      </c>
      <c r="H46" t="s">
        <v>137</v>
      </c>
      <c r="I46" t="s">
        <v>25</v>
      </c>
      <c r="J46" t="s">
        <v>47</v>
      </c>
      <c r="K46" t="s">
        <v>265</v>
      </c>
      <c r="L46" t="s">
        <v>266</v>
      </c>
      <c r="M46" t="s">
        <v>267</v>
      </c>
      <c r="N46" t="s">
        <v>268</v>
      </c>
      <c r="O46" t="s">
        <v>269</v>
      </c>
      <c r="P46">
        <v>0</v>
      </c>
      <c r="Q46" t="s">
        <v>40</v>
      </c>
    </row>
    <row r="47" spans="1:17">
      <c r="A47" s="4" t="str">
        <f>HYPERLINK("https://www.analog.com/en/ADXL212#details", "ADXL212")</f>
        <v>ADXL212</v>
      </c>
      <c r="B47" t="s">
        <v>270</v>
      </c>
      <c r="C47" t="s">
        <v>57</v>
      </c>
      <c r="D47">
        <v>2</v>
      </c>
      <c r="E47">
        <v>2</v>
      </c>
      <c r="F47" t="s">
        <v>263</v>
      </c>
      <c r="G47" t="s">
        <v>121</v>
      </c>
      <c r="H47" t="s">
        <v>137</v>
      </c>
      <c r="I47" t="s">
        <v>25</v>
      </c>
      <c r="J47" t="s">
        <v>25</v>
      </c>
      <c r="K47" t="s">
        <v>35</v>
      </c>
      <c r="L47" t="s">
        <v>271</v>
      </c>
      <c r="M47" t="s">
        <v>272</v>
      </c>
      <c r="N47" t="s">
        <v>273</v>
      </c>
      <c r="O47" t="s">
        <v>274</v>
      </c>
      <c r="P47">
        <v>1174</v>
      </c>
      <c r="Q47" t="s">
        <v>229</v>
      </c>
    </row>
    <row r="48" spans="1:17">
      <c r="A48" s="4" t="str">
        <f>HYPERLINK("https://www.analog.com/en/ADIS16210#details", "ADIS16210")</f>
        <v>ADIS16210</v>
      </c>
      <c r="B48" t="s">
        <v>275</v>
      </c>
      <c r="C48" t="s">
        <v>57</v>
      </c>
      <c r="D48">
        <v>1.7</v>
      </c>
      <c r="E48">
        <v>3</v>
      </c>
      <c r="F48" t="s">
        <v>276</v>
      </c>
      <c r="G48" t="s">
        <v>121</v>
      </c>
      <c r="H48" t="s">
        <v>45</v>
      </c>
      <c r="I48" t="s">
        <v>125</v>
      </c>
      <c r="J48" t="s">
        <v>47</v>
      </c>
      <c r="K48" t="s">
        <v>48</v>
      </c>
      <c r="L48" t="s">
        <v>277</v>
      </c>
      <c r="M48" t="s">
        <v>278</v>
      </c>
      <c r="N48" t="s">
        <v>25</v>
      </c>
      <c r="O48" t="s">
        <v>25</v>
      </c>
      <c r="P48">
        <v>0</v>
      </c>
      <c r="Q48" t="s">
        <v>40</v>
      </c>
    </row>
    <row r="49" spans="1:17">
      <c r="A49" s="4" t="str">
        <f>HYPERLINK("https://www.analog.com/en/ADXL337#details", "ADXL337")</f>
        <v>ADXL337</v>
      </c>
      <c r="B49" t="s">
        <v>279</v>
      </c>
      <c r="C49" t="s">
        <v>79</v>
      </c>
      <c r="D49">
        <v>3</v>
      </c>
      <c r="E49">
        <v>3</v>
      </c>
      <c r="F49" t="s">
        <v>194</v>
      </c>
      <c r="G49" t="s">
        <v>195</v>
      </c>
      <c r="H49" t="s">
        <v>45</v>
      </c>
      <c r="I49" t="s">
        <v>25</v>
      </c>
      <c r="J49" t="s">
        <v>280</v>
      </c>
      <c r="K49" t="s">
        <v>25</v>
      </c>
      <c r="L49" t="s">
        <v>25</v>
      </c>
      <c r="M49" t="s">
        <v>25</v>
      </c>
      <c r="N49" t="s">
        <v>25</v>
      </c>
      <c r="O49" t="s">
        <v>25</v>
      </c>
      <c r="P49">
        <v>0</v>
      </c>
      <c r="Q49" t="s">
        <v>229</v>
      </c>
    </row>
    <row r="50" spans="1:17">
      <c r="A50" s="4" t="str">
        <f>HYPERLINK("https://www.analog.com/en/ADXL312#details", "ADXL312")</f>
        <v>ADXL312</v>
      </c>
      <c r="B50" t="s">
        <v>281</v>
      </c>
      <c r="C50" t="s">
        <v>57</v>
      </c>
      <c r="D50" t="s">
        <v>282</v>
      </c>
      <c r="E50">
        <v>3</v>
      </c>
      <c r="F50" t="s">
        <v>93</v>
      </c>
      <c r="G50" t="s">
        <v>94</v>
      </c>
      <c r="H50" t="s">
        <v>45</v>
      </c>
      <c r="I50" t="s">
        <v>34</v>
      </c>
      <c r="J50" t="s">
        <v>25</v>
      </c>
      <c r="K50" t="s">
        <v>114</v>
      </c>
      <c r="L50" t="s">
        <v>283</v>
      </c>
      <c r="M50" t="s">
        <v>223</v>
      </c>
      <c r="N50" t="s">
        <v>284</v>
      </c>
      <c r="O50" t="s">
        <v>285</v>
      </c>
      <c r="P50">
        <v>366</v>
      </c>
      <c r="Q50" t="s">
        <v>40</v>
      </c>
    </row>
    <row r="51" spans="1:17">
      <c r="A51" s="4" t="str">
        <f>HYPERLINK("https://www.analog.com/en/ADXL346#details", "ADXL346")</f>
        <v>ADXL346</v>
      </c>
      <c r="B51" t="s">
        <v>248</v>
      </c>
      <c r="C51" t="s">
        <v>57</v>
      </c>
      <c r="D51" t="s">
        <v>243</v>
      </c>
      <c r="E51">
        <v>3</v>
      </c>
      <c r="F51" t="s">
        <v>244</v>
      </c>
      <c r="G51" t="s">
        <v>249</v>
      </c>
      <c r="H51" t="s">
        <v>250</v>
      </c>
      <c r="I51" t="s">
        <v>34</v>
      </c>
      <c r="J51" t="s">
        <v>286</v>
      </c>
      <c r="K51" t="s">
        <v>35</v>
      </c>
      <c r="L51" t="s">
        <v>287</v>
      </c>
      <c r="M51" t="s">
        <v>252</v>
      </c>
      <c r="N51" t="s">
        <v>288</v>
      </c>
      <c r="O51" t="s">
        <v>289</v>
      </c>
      <c r="P51">
        <v>1064</v>
      </c>
      <c r="Q51" t="s">
        <v>72</v>
      </c>
    </row>
    <row r="52" spans="1:17">
      <c r="A52" s="4" t="str">
        <f>HYPERLINK("https://www.analog.com/en/ADXL325#details", "ADXL325")</f>
        <v>ADXL325</v>
      </c>
      <c r="B52" t="s">
        <v>290</v>
      </c>
      <c r="C52" t="s">
        <v>79</v>
      </c>
      <c r="D52">
        <v>6</v>
      </c>
      <c r="E52">
        <v>3</v>
      </c>
      <c r="F52" t="s">
        <v>194</v>
      </c>
      <c r="G52" t="s">
        <v>195</v>
      </c>
      <c r="H52" t="s">
        <v>45</v>
      </c>
      <c r="I52" t="s">
        <v>25</v>
      </c>
      <c r="J52" t="s">
        <v>280</v>
      </c>
      <c r="K52" t="s">
        <v>35</v>
      </c>
      <c r="L52" t="s">
        <v>291</v>
      </c>
      <c r="M52" t="s">
        <v>292</v>
      </c>
      <c r="N52" t="s">
        <v>293</v>
      </c>
      <c r="O52" t="s">
        <v>294</v>
      </c>
      <c r="P52">
        <v>12173</v>
      </c>
      <c r="Q52" t="s">
        <v>72</v>
      </c>
    </row>
    <row r="53" spans="1:17">
      <c r="A53" s="4" t="str">
        <f>HYPERLINK("https://www.analog.com/en/ADXL326#details", "ADXL326")</f>
        <v>ADXL326</v>
      </c>
      <c r="B53" t="s">
        <v>295</v>
      </c>
      <c r="C53" t="s">
        <v>79</v>
      </c>
      <c r="D53">
        <v>16</v>
      </c>
      <c r="E53">
        <v>3</v>
      </c>
      <c r="F53" t="s">
        <v>194</v>
      </c>
      <c r="G53" t="s">
        <v>195</v>
      </c>
      <c r="H53" t="s">
        <v>45</v>
      </c>
      <c r="I53" t="s">
        <v>25</v>
      </c>
      <c r="J53" t="s">
        <v>280</v>
      </c>
      <c r="K53" t="s">
        <v>35</v>
      </c>
      <c r="L53" t="s">
        <v>296</v>
      </c>
      <c r="M53" t="s">
        <v>292</v>
      </c>
      <c r="N53" t="s">
        <v>297</v>
      </c>
      <c r="O53" t="s">
        <v>298</v>
      </c>
      <c r="P53">
        <v>790</v>
      </c>
      <c r="Q53" t="s">
        <v>72</v>
      </c>
    </row>
    <row r="54" spans="1:17">
      <c r="A54" s="4" t="str">
        <f>HYPERLINK("https://www.analog.com/en/ADXL327#details", "ADXL327")</f>
        <v>ADXL327</v>
      </c>
      <c r="B54" t="s">
        <v>299</v>
      </c>
      <c r="C54" t="s">
        <v>79</v>
      </c>
      <c r="D54">
        <v>2</v>
      </c>
      <c r="E54">
        <v>3</v>
      </c>
      <c r="F54" t="s">
        <v>194</v>
      </c>
      <c r="G54" t="s">
        <v>195</v>
      </c>
      <c r="H54" t="s">
        <v>45</v>
      </c>
      <c r="I54" t="s">
        <v>25</v>
      </c>
      <c r="J54" t="s">
        <v>280</v>
      </c>
      <c r="K54" t="s">
        <v>35</v>
      </c>
      <c r="L54" t="s">
        <v>300</v>
      </c>
      <c r="M54" t="s">
        <v>292</v>
      </c>
      <c r="N54" t="s">
        <v>301</v>
      </c>
      <c r="O54" t="s">
        <v>302</v>
      </c>
      <c r="P54">
        <v>1966</v>
      </c>
      <c r="Q54" t="s">
        <v>72</v>
      </c>
    </row>
    <row r="55" spans="1:17">
      <c r="A55" s="4" t="str">
        <f>HYPERLINK("https://www.analog.com/en/ADXL345#details", "ADXL345")</f>
        <v>ADXL345</v>
      </c>
      <c r="B55" t="s">
        <v>242</v>
      </c>
      <c r="C55" t="s">
        <v>57</v>
      </c>
      <c r="D55" t="s">
        <v>243</v>
      </c>
      <c r="E55">
        <v>3</v>
      </c>
      <c r="F55" t="s">
        <v>244</v>
      </c>
      <c r="G55" t="s">
        <v>94</v>
      </c>
      <c r="H55" t="s">
        <v>45</v>
      </c>
      <c r="I55" t="s">
        <v>34</v>
      </c>
      <c r="J55" t="s">
        <v>286</v>
      </c>
      <c r="K55" t="s">
        <v>215</v>
      </c>
      <c r="L55" t="s">
        <v>303</v>
      </c>
      <c r="M55" t="s">
        <v>217</v>
      </c>
      <c r="N55" t="s">
        <v>304</v>
      </c>
      <c r="O55" t="s">
        <v>305</v>
      </c>
      <c r="P55">
        <v>34244</v>
      </c>
      <c r="Q55" t="s">
        <v>72</v>
      </c>
    </row>
    <row r="56" spans="1:17">
      <c r="A56" s="4" t="str">
        <f>HYPERLINK("https://www.analog.com/en/ADXL335#details", "ADXL335")</f>
        <v>ADXL335</v>
      </c>
      <c r="B56" t="s">
        <v>279</v>
      </c>
      <c r="C56" t="s">
        <v>79</v>
      </c>
      <c r="D56">
        <v>3</v>
      </c>
      <c r="E56">
        <v>3</v>
      </c>
      <c r="F56" t="s">
        <v>194</v>
      </c>
      <c r="G56" t="s">
        <v>195</v>
      </c>
      <c r="H56" t="s">
        <v>45</v>
      </c>
      <c r="I56" t="s">
        <v>25</v>
      </c>
      <c r="J56" t="s">
        <v>280</v>
      </c>
      <c r="K56" t="s">
        <v>35</v>
      </c>
      <c r="L56" t="s">
        <v>306</v>
      </c>
      <c r="M56" t="s">
        <v>307</v>
      </c>
      <c r="N56" t="s">
        <v>308</v>
      </c>
      <c r="O56" t="s">
        <v>309</v>
      </c>
      <c r="P56">
        <v>878</v>
      </c>
      <c r="Q56" t="s">
        <v>72</v>
      </c>
    </row>
    <row r="57" spans="1:17">
      <c r="A57" s="4" t="str">
        <f>HYPERLINK("https://www.analog.com/en/ADXL180#details", "ADXL180")</f>
        <v>ADXL180</v>
      </c>
      <c r="B57" t="s">
        <v>310</v>
      </c>
      <c r="C57" t="s">
        <v>57</v>
      </c>
      <c r="D57">
        <v>500</v>
      </c>
      <c r="E57">
        <v>1</v>
      </c>
      <c r="F57" t="s">
        <v>311</v>
      </c>
      <c r="G57" t="s">
        <v>201</v>
      </c>
      <c r="H57" t="s">
        <v>312</v>
      </c>
      <c r="I57" t="s">
        <v>313</v>
      </c>
      <c r="J57" t="s">
        <v>47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>
        <v>0</v>
      </c>
      <c r="Q57" t="s">
        <v>229</v>
      </c>
    </row>
    <row r="58" spans="1:17">
      <c r="A58" s="4" t="str">
        <f>HYPERLINK("https://www.analog.com/en/ADIS16209#details", "ADIS16209")</f>
        <v>ADIS16209</v>
      </c>
      <c r="B58" t="s">
        <v>314</v>
      </c>
      <c r="C58" t="s">
        <v>57</v>
      </c>
      <c r="D58">
        <v>1.7</v>
      </c>
      <c r="E58">
        <v>2</v>
      </c>
      <c r="F58" t="s">
        <v>315</v>
      </c>
      <c r="G58" t="s">
        <v>121</v>
      </c>
      <c r="H58" t="s">
        <v>45</v>
      </c>
      <c r="I58" t="s">
        <v>125</v>
      </c>
      <c r="J58" t="s">
        <v>47</v>
      </c>
      <c r="K58" t="s">
        <v>48</v>
      </c>
      <c r="L58" t="s">
        <v>316</v>
      </c>
      <c r="M58" t="s">
        <v>317</v>
      </c>
      <c r="N58" t="s">
        <v>318</v>
      </c>
      <c r="O58" t="s">
        <v>319</v>
      </c>
      <c r="P58">
        <v>8</v>
      </c>
      <c r="Q58" t="s">
        <v>40</v>
      </c>
    </row>
    <row r="59" spans="1:17">
      <c r="A59" s="4" t="str">
        <f>HYPERLINK("https://www.analog.com/en/ADXL203#details", "ADXL203")</f>
        <v>ADXL203</v>
      </c>
      <c r="B59" t="s">
        <v>320</v>
      </c>
      <c r="C59" t="s">
        <v>79</v>
      </c>
      <c r="D59">
        <v>1.7</v>
      </c>
      <c r="E59">
        <v>2</v>
      </c>
      <c r="F59" t="s">
        <v>263</v>
      </c>
      <c r="G59" t="s">
        <v>121</v>
      </c>
      <c r="H59" t="s">
        <v>321</v>
      </c>
      <c r="I59" t="s">
        <v>25</v>
      </c>
      <c r="J59" t="s">
        <v>25</v>
      </c>
      <c r="K59" t="s">
        <v>48</v>
      </c>
      <c r="L59" t="s">
        <v>322</v>
      </c>
      <c r="M59" t="s">
        <v>272</v>
      </c>
      <c r="N59" t="s">
        <v>323</v>
      </c>
      <c r="O59" t="s">
        <v>324</v>
      </c>
      <c r="P59">
        <v>421</v>
      </c>
      <c r="Q59" t="s">
        <v>40</v>
      </c>
    </row>
    <row r="60" spans="1:17">
      <c r="A60" s="4" t="str">
        <f>HYPERLINK("https://www.analog.com/en/ADIS16003#details", "ADIS16003")</f>
        <v>ADIS16003</v>
      </c>
      <c r="B60" t="s">
        <v>325</v>
      </c>
      <c r="C60" t="s">
        <v>57</v>
      </c>
      <c r="D60">
        <v>1.7</v>
      </c>
      <c r="E60">
        <v>2</v>
      </c>
      <c r="F60" t="s">
        <v>326</v>
      </c>
      <c r="G60" t="s">
        <v>121</v>
      </c>
      <c r="H60" t="s">
        <v>137</v>
      </c>
      <c r="I60" t="s">
        <v>125</v>
      </c>
      <c r="J60" t="s">
        <v>25</v>
      </c>
      <c r="K60" t="s">
        <v>48</v>
      </c>
      <c r="L60" t="s">
        <v>327</v>
      </c>
      <c r="M60" t="s">
        <v>328</v>
      </c>
      <c r="N60" t="s">
        <v>329</v>
      </c>
      <c r="O60" t="s">
        <v>330</v>
      </c>
      <c r="P60">
        <v>6</v>
      </c>
      <c r="Q60" t="s">
        <v>72</v>
      </c>
    </row>
    <row r="61" spans="1:17">
      <c r="A61" s="4" t="str">
        <f>HYPERLINK("https://www.analog.com/en/ADIS16006#details", "ADIS16006")</f>
        <v>ADIS16006</v>
      </c>
      <c r="B61" t="s">
        <v>331</v>
      </c>
      <c r="C61" t="s">
        <v>57</v>
      </c>
      <c r="D61">
        <v>5</v>
      </c>
      <c r="E61">
        <v>2</v>
      </c>
      <c r="F61" t="s">
        <v>326</v>
      </c>
      <c r="G61" t="s">
        <v>121</v>
      </c>
      <c r="H61" t="s">
        <v>137</v>
      </c>
      <c r="I61" t="s">
        <v>125</v>
      </c>
      <c r="J61" t="s">
        <v>25</v>
      </c>
      <c r="K61" t="s">
        <v>48</v>
      </c>
      <c r="L61" t="s">
        <v>332</v>
      </c>
      <c r="M61" t="s">
        <v>328</v>
      </c>
      <c r="N61" t="s">
        <v>333</v>
      </c>
      <c r="O61" t="s">
        <v>334</v>
      </c>
      <c r="P61">
        <v>0</v>
      </c>
      <c r="Q61" t="s">
        <v>72</v>
      </c>
    </row>
    <row r="62" spans="1:17">
      <c r="A62" s="4" t="str">
        <f>HYPERLINK("https://www.analog.com/en/ADXL103#details", "ADXL103")</f>
        <v>ADXL103</v>
      </c>
      <c r="B62" t="s">
        <v>335</v>
      </c>
      <c r="C62" t="s">
        <v>79</v>
      </c>
      <c r="D62">
        <v>1.7</v>
      </c>
      <c r="E62">
        <v>1</v>
      </c>
      <c r="F62" t="s">
        <v>263</v>
      </c>
      <c r="G62" t="s">
        <v>121</v>
      </c>
      <c r="H62" t="s">
        <v>321</v>
      </c>
      <c r="I62" t="s">
        <v>25</v>
      </c>
      <c r="J62" t="s">
        <v>25</v>
      </c>
      <c r="K62" t="s">
        <v>48</v>
      </c>
      <c r="L62" t="s">
        <v>336</v>
      </c>
      <c r="M62" t="s">
        <v>272</v>
      </c>
      <c r="N62" t="s">
        <v>337</v>
      </c>
      <c r="O62" t="s">
        <v>338</v>
      </c>
      <c r="P62">
        <v>3086</v>
      </c>
      <c r="Q62" t="s">
        <v>40</v>
      </c>
    </row>
    <row r="63" spans="1:17">
      <c r="A63" s="4" t="str">
        <f>HYPERLINK("https://www.analog.com/en/ADXL213#details", "ADXL213")</f>
        <v>ADXL213</v>
      </c>
      <c r="B63" t="s">
        <v>339</v>
      </c>
      <c r="C63" t="s">
        <v>57</v>
      </c>
      <c r="D63">
        <v>1.2</v>
      </c>
      <c r="E63">
        <v>2</v>
      </c>
      <c r="F63" t="s">
        <v>263</v>
      </c>
      <c r="G63" t="s">
        <v>121</v>
      </c>
      <c r="H63" t="s">
        <v>321</v>
      </c>
      <c r="I63" t="s">
        <v>25</v>
      </c>
      <c r="J63" t="s">
        <v>25</v>
      </c>
      <c r="K63" t="s">
        <v>35</v>
      </c>
      <c r="L63" t="s">
        <v>340</v>
      </c>
      <c r="M63" t="s">
        <v>272</v>
      </c>
      <c r="N63" t="s">
        <v>341</v>
      </c>
      <c r="O63" t="s">
        <v>342</v>
      </c>
      <c r="P63">
        <v>340</v>
      </c>
      <c r="Q63" t="s">
        <v>40</v>
      </c>
    </row>
    <row r="64" spans="1:17">
      <c r="A64" s="4" t="str">
        <f>HYPERLINK("https://www.analog.com/en/ADIS16201#details", "ADIS16201")</f>
        <v>ADIS16201</v>
      </c>
      <c r="B64" t="s">
        <v>343</v>
      </c>
      <c r="C64" t="s">
        <v>57</v>
      </c>
      <c r="D64">
        <v>1.7</v>
      </c>
      <c r="E64">
        <v>2</v>
      </c>
      <c r="F64" t="s">
        <v>344</v>
      </c>
      <c r="G64" t="s">
        <v>121</v>
      </c>
      <c r="H64" t="s">
        <v>45</v>
      </c>
      <c r="I64" t="s">
        <v>125</v>
      </c>
      <c r="J64" t="s">
        <v>25</v>
      </c>
      <c r="K64" t="s">
        <v>48</v>
      </c>
      <c r="L64" t="s">
        <v>345</v>
      </c>
      <c r="M64" t="s">
        <v>317</v>
      </c>
      <c r="N64" t="s">
        <v>346</v>
      </c>
      <c r="O64" t="s">
        <v>347</v>
      </c>
      <c r="P64">
        <v>13</v>
      </c>
      <c r="Q64" t="s">
        <v>72</v>
      </c>
    </row>
    <row r="65" spans="1:17">
      <c r="A65" s="4" t="str">
        <f>HYPERLINK("https://www.analog.com/en/ADIS16203#details", "ADIS16203")</f>
        <v>ADIS16203</v>
      </c>
      <c r="B65" t="s">
        <v>348</v>
      </c>
      <c r="C65" t="s">
        <v>57</v>
      </c>
      <c r="D65" t="s">
        <v>25</v>
      </c>
      <c r="E65">
        <v>1</v>
      </c>
      <c r="F65" t="s">
        <v>344</v>
      </c>
      <c r="G65" t="s">
        <v>121</v>
      </c>
      <c r="H65" t="s">
        <v>45</v>
      </c>
      <c r="I65" t="s">
        <v>125</v>
      </c>
      <c r="J65" t="s">
        <v>25</v>
      </c>
      <c r="K65" t="s">
        <v>48</v>
      </c>
      <c r="L65" t="s">
        <v>349</v>
      </c>
      <c r="M65" t="s">
        <v>317</v>
      </c>
      <c r="N65" t="s">
        <v>350</v>
      </c>
      <c r="O65" t="s">
        <v>351</v>
      </c>
      <c r="P65">
        <v>36</v>
      </c>
      <c r="Q65" t="s">
        <v>72</v>
      </c>
    </row>
    <row r="66" spans="1:17">
      <c r="A66" s="4" t="str">
        <f>HYPERLINK("https://www.analog.com/en/ADXL152#details", "ADXL152")</f>
        <v>ADXL152</v>
      </c>
      <c r="B66" t="s">
        <v>352</v>
      </c>
      <c r="C66" t="s">
        <v>57</v>
      </c>
      <c r="D66" t="s">
        <v>188</v>
      </c>
      <c r="E66">
        <v>1</v>
      </c>
      <c r="F66" t="s">
        <v>120</v>
      </c>
      <c r="G66" t="s">
        <v>25</v>
      </c>
      <c r="H66" t="s">
        <v>25</v>
      </c>
      <c r="I66" t="s">
        <v>189</v>
      </c>
      <c r="J66" t="s">
        <v>25</v>
      </c>
      <c r="K66" t="s">
        <v>25</v>
      </c>
      <c r="L66" t="s">
        <v>25</v>
      </c>
      <c r="M66" t="s">
        <v>25</v>
      </c>
      <c r="N66" t="s">
        <v>353</v>
      </c>
      <c r="O66" t="s">
        <v>354</v>
      </c>
      <c r="P66">
        <v>0</v>
      </c>
      <c r="Q66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Q66"/>
  <sheetViews>
    <sheetView tabSelected="1" workbookViewId="0">
      <selection activeCell="A27" sqref="A27:XFD27"/>
    </sheetView>
  </sheetViews>
  <sheetFormatPr defaultColWidth="12" defaultRowHeight="14.4"/>
  <cols>
    <col min="1" max="1" width="12" style="5"/>
    <col min="2" max="2" width="26.5546875" style="5" customWidth="1"/>
    <col min="3" max="4" width="12" style="5"/>
    <col min="5" max="5" width="5.109375" style="5" customWidth="1"/>
    <col min="6" max="6" width="12" style="5"/>
    <col min="7" max="7" width="8.44140625" style="5" customWidth="1"/>
    <col min="8" max="8" width="7.77734375" style="5" customWidth="1"/>
    <col min="9" max="16" width="12" style="5"/>
    <col min="17" max="17" width="21.44140625" style="5" customWidth="1"/>
    <col min="18" max="16384" width="12" style="5"/>
  </cols>
  <sheetData>
    <row r="1" spans="1:17" s="9" customFormat="1" ht="57.6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</row>
    <row r="2" spans="1:17" hidden="1">
      <c r="A2" s="6" t="s">
        <v>25</v>
      </c>
      <c r="B2" s="6" t="s">
        <v>25</v>
      </c>
      <c r="C2" s="6" t="s">
        <v>25</v>
      </c>
      <c r="D2" s="6" t="s">
        <v>26</v>
      </c>
      <c r="E2" s="6" t="s">
        <v>25</v>
      </c>
      <c r="F2" s="6" t="s">
        <v>27</v>
      </c>
      <c r="G2" s="6" t="s">
        <v>28</v>
      </c>
      <c r="H2" s="6" t="s">
        <v>28</v>
      </c>
      <c r="I2" s="6" t="s">
        <v>25</v>
      </c>
      <c r="J2" s="6" t="s">
        <v>25</v>
      </c>
      <c r="K2" s="6" t="s">
        <v>25</v>
      </c>
      <c r="L2" s="6" t="s">
        <v>29</v>
      </c>
      <c r="M2" s="6" t="s">
        <v>25</v>
      </c>
      <c r="N2" s="6" t="s">
        <v>30</v>
      </c>
      <c r="O2" s="6" t="s">
        <v>31</v>
      </c>
      <c r="P2" s="6" t="s">
        <v>25</v>
      </c>
      <c r="Q2" s="6" t="s">
        <v>25</v>
      </c>
    </row>
    <row r="3" spans="1:17" hidden="1">
      <c r="A3" s="7" t="str">
        <f>HYPERLINK("https://www.analog.com/en/ADXL366#details", "ADXL366")</f>
        <v>ADXL366</v>
      </c>
      <c r="B3" s="5" t="s">
        <v>355</v>
      </c>
      <c r="C3" s="5" t="s">
        <v>25</v>
      </c>
      <c r="D3" s="5" t="s">
        <v>25</v>
      </c>
      <c r="E3" s="5" t="s">
        <v>25</v>
      </c>
      <c r="F3" s="5">
        <v>9.5999999999999991E-7</v>
      </c>
      <c r="G3" s="5" t="s">
        <v>25</v>
      </c>
      <c r="H3" s="5" t="s">
        <v>25</v>
      </c>
      <c r="I3" s="5" t="s">
        <v>356</v>
      </c>
      <c r="J3" s="5" t="s">
        <v>25</v>
      </c>
      <c r="K3" s="5" t="s">
        <v>35</v>
      </c>
      <c r="L3" s="5">
        <v>1.6</v>
      </c>
      <c r="M3" s="5" t="s">
        <v>357</v>
      </c>
      <c r="N3" s="5">
        <v>5.0599999999999996</v>
      </c>
      <c r="O3" s="5">
        <v>0.87</v>
      </c>
      <c r="P3" s="5">
        <v>295</v>
      </c>
      <c r="Q3" s="5" t="s">
        <v>40</v>
      </c>
    </row>
    <row r="4" spans="1:17" hidden="1">
      <c r="A4" s="7" t="str">
        <f>HYPERLINK("https://www.analog.com/en/ADXL318#details", "ADXL318")</f>
        <v>ADXL318</v>
      </c>
      <c r="B4" s="5" t="s">
        <v>358</v>
      </c>
      <c r="C4" s="5" t="s">
        <v>25</v>
      </c>
      <c r="D4" s="5" t="s">
        <v>359</v>
      </c>
      <c r="E4" s="5">
        <v>3</v>
      </c>
      <c r="F4" s="5">
        <v>3.4000000000000002E-4</v>
      </c>
      <c r="G4" s="5">
        <v>2.25</v>
      </c>
      <c r="H4" s="5">
        <v>3.6</v>
      </c>
      <c r="I4" s="5" t="s">
        <v>360</v>
      </c>
      <c r="J4" s="5" t="s">
        <v>47</v>
      </c>
      <c r="K4" s="5" t="s">
        <v>48</v>
      </c>
      <c r="L4" s="5" t="s">
        <v>25</v>
      </c>
      <c r="M4" s="5" t="s">
        <v>49</v>
      </c>
      <c r="N4" s="5">
        <v>8.1199999999999992</v>
      </c>
      <c r="O4" s="5">
        <v>0.87</v>
      </c>
      <c r="P4" s="5">
        <v>0</v>
      </c>
      <c r="Q4" s="5" t="s">
        <v>40</v>
      </c>
    </row>
    <row r="5" spans="1:17" hidden="1">
      <c r="A5" s="7" t="str">
        <f>HYPERLINK("https://www.analog.com/en/ADXL319#details", "ADXL319")</f>
        <v>ADXL319</v>
      </c>
      <c r="B5" s="5" t="s">
        <v>358</v>
      </c>
      <c r="C5" s="5" t="s">
        <v>25</v>
      </c>
      <c r="D5" s="5" t="s">
        <v>361</v>
      </c>
      <c r="E5" s="5">
        <v>3</v>
      </c>
      <c r="F5" s="5">
        <v>5.1999999999999995E-4</v>
      </c>
      <c r="G5" s="5">
        <v>2.25</v>
      </c>
      <c r="H5" s="5">
        <v>3.6</v>
      </c>
      <c r="I5" s="5" t="s">
        <v>360</v>
      </c>
      <c r="J5" s="5" t="s">
        <v>47</v>
      </c>
      <c r="K5" s="5" t="s">
        <v>48</v>
      </c>
      <c r="L5" s="5" t="s">
        <v>25</v>
      </c>
      <c r="M5" s="5" t="s">
        <v>49</v>
      </c>
      <c r="N5" s="5">
        <v>8.1199999999999992</v>
      </c>
      <c r="O5" s="5">
        <v>0.87</v>
      </c>
      <c r="P5" s="5">
        <v>0</v>
      </c>
      <c r="Q5" s="5" t="s">
        <v>40</v>
      </c>
    </row>
    <row r="6" spans="1:17">
      <c r="A6" s="7" t="str">
        <f>HYPERLINK("https://www.analog.com/en/ADXL357B#details", "ADXL357B")</f>
        <v>ADXL357B</v>
      </c>
      <c r="B6" s="5" t="s">
        <v>362</v>
      </c>
      <c r="C6" s="5" t="s">
        <v>57</v>
      </c>
      <c r="D6" s="5" t="s">
        <v>363</v>
      </c>
      <c r="E6" s="5">
        <v>3</v>
      </c>
      <c r="F6" s="5" t="s">
        <v>25</v>
      </c>
      <c r="G6" s="5">
        <v>2.25</v>
      </c>
      <c r="H6" s="5">
        <v>3.6</v>
      </c>
      <c r="I6" s="5" t="s">
        <v>25</v>
      </c>
      <c r="J6" s="5" t="s">
        <v>25</v>
      </c>
      <c r="K6" s="5" t="s">
        <v>48</v>
      </c>
      <c r="L6" s="5">
        <v>45.01</v>
      </c>
      <c r="M6" s="5" t="s">
        <v>364</v>
      </c>
      <c r="N6" s="5">
        <v>39.0625</v>
      </c>
      <c r="O6" s="5">
        <v>2.25</v>
      </c>
      <c r="P6" s="5">
        <v>196</v>
      </c>
      <c r="Q6" s="5" t="s">
        <v>40</v>
      </c>
    </row>
    <row r="7" spans="1:17" hidden="1">
      <c r="A7" s="7" t="str">
        <f>HYPERLINK("https://www.analog.com/en/ADXL382#details", "ADXL382")</f>
        <v>ADXL382</v>
      </c>
      <c r="B7" s="5" t="s">
        <v>358</v>
      </c>
      <c r="C7" s="5" t="s">
        <v>57</v>
      </c>
      <c r="D7" s="5" t="s">
        <v>25</v>
      </c>
      <c r="E7" s="5">
        <v>3</v>
      </c>
      <c r="F7" s="5">
        <v>5.1999999999999995E-4</v>
      </c>
      <c r="G7" s="5">
        <v>2.25</v>
      </c>
      <c r="H7" s="5">
        <v>3.6</v>
      </c>
      <c r="I7" s="5" t="s">
        <v>360</v>
      </c>
      <c r="J7" s="5" t="s">
        <v>47</v>
      </c>
      <c r="K7" s="5" t="s">
        <v>48</v>
      </c>
      <c r="L7" s="5">
        <v>12.76</v>
      </c>
      <c r="M7" s="5" t="s">
        <v>49</v>
      </c>
      <c r="N7" s="5">
        <v>8.1199999999999992</v>
      </c>
      <c r="O7" s="5">
        <v>0.87</v>
      </c>
      <c r="P7" s="5">
        <v>11435</v>
      </c>
      <c r="Q7" s="5" t="s">
        <v>40</v>
      </c>
    </row>
    <row r="8" spans="1:17" hidden="1">
      <c r="A8" s="7" t="str">
        <f>HYPERLINK("https://www.analog.com/en/ADXL716#details", "ADXL716")</f>
        <v>ADXL716</v>
      </c>
      <c r="B8" s="5" t="s">
        <v>66</v>
      </c>
      <c r="C8" s="5" t="s">
        <v>25</v>
      </c>
      <c r="D8" s="5" t="s">
        <v>25</v>
      </c>
      <c r="E8" s="5">
        <v>1</v>
      </c>
      <c r="F8" s="5" t="s">
        <v>25</v>
      </c>
      <c r="G8" s="5">
        <v>4.5</v>
      </c>
      <c r="H8" s="5">
        <v>16.5</v>
      </c>
      <c r="I8" s="5" t="s">
        <v>25</v>
      </c>
      <c r="J8" s="5" t="s">
        <v>25</v>
      </c>
      <c r="K8" s="5" t="s">
        <v>48</v>
      </c>
      <c r="L8" s="5" t="s">
        <v>25</v>
      </c>
      <c r="M8" s="5" t="s">
        <v>69</v>
      </c>
      <c r="N8" s="5">
        <v>16</v>
      </c>
      <c r="O8" s="5">
        <v>1.45</v>
      </c>
      <c r="P8" s="5">
        <v>0</v>
      </c>
      <c r="Q8" s="5" t="s">
        <v>72</v>
      </c>
    </row>
    <row r="9" spans="1:17" hidden="1">
      <c r="A9" s="7" t="str">
        <f>HYPERLINK("https://www.analog.com/en/ADXL380#details", "ADXL380")</f>
        <v>ADXL380</v>
      </c>
      <c r="B9" s="5" t="s">
        <v>358</v>
      </c>
      <c r="C9" s="5" t="s">
        <v>57</v>
      </c>
      <c r="D9" s="5" t="s">
        <v>25</v>
      </c>
      <c r="E9" s="5">
        <v>3</v>
      </c>
      <c r="F9" s="5">
        <v>3.3E-4</v>
      </c>
      <c r="G9" s="5">
        <v>2.25</v>
      </c>
      <c r="H9" s="5">
        <v>3.6</v>
      </c>
      <c r="I9" s="5" t="s">
        <v>360</v>
      </c>
      <c r="J9" s="5" t="s">
        <v>47</v>
      </c>
      <c r="K9" s="5" t="s">
        <v>74</v>
      </c>
      <c r="L9" s="5">
        <v>5.31</v>
      </c>
      <c r="M9" s="5" t="s">
        <v>49</v>
      </c>
      <c r="N9" s="5">
        <v>8.1199999999999992</v>
      </c>
      <c r="O9" s="5">
        <v>0.87</v>
      </c>
      <c r="P9" s="5">
        <v>19505</v>
      </c>
      <c r="Q9" s="5" t="s">
        <v>40</v>
      </c>
    </row>
    <row r="10" spans="1:17">
      <c r="A10" s="7" t="str">
        <f>HYPERLINK("https://www.analog.com/en/ADXL358#details", "ADXL358")</f>
        <v>ADXL358</v>
      </c>
      <c r="B10" s="5" t="s">
        <v>365</v>
      </c>
      <c r="C10" s="5" t="s">
        <v>79</v>
      </c>
      <c r="D10" s="5" t="s">
        <v>363</v>
      </c>
      <c r="E10" s="5">
        <v>3</v>
      </c>
      <c r="F10" s="5">
        <v>1.4999999999999999E-4</v>
      </c>
      <c r="G10" s="5">
        <v>2.25</v>
      </c>
      <c r="H10" s="5">
        <v>3.6</v>
      </c>
      <c r="I10" s="5" t="s">
        <v>25</v>
      </c>
      <c r="J10" s="5" t="s">
        <v>47</v>
      </c>
      <c r="K10" s="5" t="s">
        <v>48</v>
      </c>
      <c r="L10" s="5">
        <v>10.199999999999999</v>
      </c>
      <c r="M10" s="5" t="s">
        <v>366</v>
      </c>
      <c r="N10" s="5">
        <v>16</v>
      </c>
      <c r="O10" s="5">
        <v>1.04</v>
      </c>
      <c r="P10" s="5">
        <v>6000</v>
      </c>
      <c r="Q10" s="5" t="s">
        <v>40</v>
      </c>
    </row>
    <row r="11" spans="1:17">
      <c r="A11" s="7" t="str">
        <f>HYPERLINK("https://www.analog.com/en/ADXL359#details", "ADXL359")</f>
        <v>ADXL359</v>
      </c>
      <c r="B11" s="5" t="s">
        <v>365</v>
      </c>
      <c r="C11" s="5" t="s">
        <v>57</v>
      </c>
      <c r="D11" s="5" t="s">
        <v>363</v>
      </c>
      <c r="E11" s="5">
        <v>3</v>
      </c>
      <c r="F11" s="5">
        <v>2.0000000000000001E-4</v>
      </c>
      <c r="G11" s="5">
        <v>2.25</v>
      </c>
      <c r="H11" s="5">
        <v>3.6</v>
      </c>
      <c r="I11" s="5" t="s">
        <v>87</v>
      </c>
      <c r="J11" s="5" t="s">
        <v>47</v>
      </c>
      <c r="K11" s="5" t="s">
        <v>48</v>
      </c>
      <c r="L11" s="5">
        <v>13.01</v>
      </c>
      <c r="M11" s="5" t="s">
        <v>89</v>
      </c>
      <c r="N11" s="5">
        <v>16</v>
      </c>
      <c r="O11" s="5">
        <v>1.04</v>
      </c>
      <c r="P11" s="5">
        <v>39</v>
      </c>
      <c r="Q11" s="5" t="s">
        <v>40</v>
      </c>
    </row>
    <row r="12" spans="1:17" hidden="1">
      <c r="A12" s="7" t="str">
        <f>HYPERLINK("https://www.analog.com/en/ADXL314#details", "ADXL314")</f>
        <v>ADXL314</v>
      </c>
      <c r="B12" s="5" t="s">
        <v>367</v>
      </c>
      <c r="C12" s="5" t="s">
        <v>57</v>
      </c>
      <c r="D12" s="5">
        <v>200</v>
      </c>
      <c r="E12" s="5">
        <v>3</v>
      </c>
      <c r="F12" s="5">
        <v>1.7000000000000001E-4</v>
      </c>
      <c r="G12" s="5">
        <v>2</v>
      </c>
      <c r="H12" s="5">
        <v>3.6</v>
      </c>
      <c r="I12" s="5" t="s">
        <v>356</v>
      </c>
      <c r="J12" s="5" t="s">
        <v>47</v>
      </c>
      <c r="K12" s="5" t="s">
        <v>48</v>
      </c>
      <c r="L12" s="5">
        <v>4.42</v>
      </c>
      <c r="M12" s="5" t="s">
        <v>96</v>
      </c>
      <c r="N12" s="5" t="s">
        <v>25</v>
      </c>
      <c r="O12" s="5" t="s">
        <v>25</v>
      </c>
      <c r="P12" s="5">
        <v>1091</v>
      </c>
      <c r="Q12" s="5" t="s">
        <v>40</v>
      </c>
    </row>
    <row r="13" spans="1:17" hidden="1">
      <c r="A13" s="7" t="str">
        <f>HYPERLINK("https://www.analog.com/en/ADXL367#details", "ADXL367")</f>
        <v>ADXL367</v>
      </c>
      <c r="B13" s="5" t="s">
        <v>368</v>
      </c>
      <c r="C13" s="5" t="s">
        <v>57</v>
      </c>
      <c r="D13" s="5" t="s">
        <v>369</v>
      </c>
      <c r="E13" s="5">
        <v>3</v>
      </c>
      <c r="F13" s="5">
        <v>8.8999999999999995E-7</v>
      </c>
      <c r="G13" s="5">
        <v>1.1000000000000001</v>
      </c>
      <c r="H13" s="5">
        <v>3.6</v>
      </c>
      <c r="I13" s="5" t="s">
        <v>356</v>
      </c>
      <c r="J13" s="5" t="s">
        <v>47</v>
      </c>
      <c r="K13" s="5" t="s">
        <v>35</v>
      </c>
      <c r="L13" s="5">
        <v>3.16</v>
      </c>
      <c r="M13" s="5" t="s">
        <v>102</v>
      </c>
      <c r="N13" s="5">
        <v>5.0599999999999996</v>
      </c>
      <c r="O13" s="5">
        <v>0.87</v>
      </c>
      <c r="P13" s="5">
        <v>2021</v>
      </c>
      <c r="Q13" s="5" t="s">
        <v>40</v>
      </c>
    </row>
    <row r="14" spans="1:17" hidden="1">
      <c r="A14" s="7" t="str">
        <f>HYPERLINK("https://www.analog.com/en/ADXL371#details", "ADXL371")</f>
        <v>ADXL371</v>
      </c>
      <c r="B14" s="5" t="s">
        <v>370</v>
      </c>
      <c r="C14" s="5" t="s">
        <v>57</v>
      </c>
      <c r="D14" s="5">
        <v>200</v>
      </c>
      <c r="E14" s="5">
        <v>3</v>
      </c>
      <c r="F14" s="5">
        <v>2.1999999999999999E-5</v>
      </c>
      <c r="G14" s="5">
        <v>2.5</v>
      </c>
      <c r="H14" s="5">
        <v>3.5</v>
      </c>
      <c r="I14" s="5" t="s">
        <v>356</v>
      </c>
      <c r="J14" s="5" t="s">
        <v>47</v>
      </c>
      <c r="K14" s="5" t="s">
        <v>25</v>
      </c>
      <c r="L14" s="5" t="s">
        <v>25</v>
      </c>
      <c r="M14" s="5" t="s">
        <v>25</v>
      </c>
      <c r="N14" s="5">
        <v>10.89</v>
      </c>
      <c r="O14" s="5">
        <v>0.85</v>
      </c>
      <c r="P14" s="5">
        <v>4619</v>
      </c>
      <c r="Q14" s="5" t="s">
        <v>40</v>
      </c>
    </row>
    <row r="15" spans="1:17" hidden="1">
      <c r="A15" s="7" t="str">
        <f>HYPERLINK("https://www.analog.com/en/ADXL373#details", "ADXL373")</f>
        <v>ADXL373</v>
      </c>
      <c r="B15" s="5" t="s">
        <v>371</v>
      </c>
      <c r="C15" s="5" t="s">
        <v>57</v>
      </c>
      <c r="D15" s="5">
        <v>400</v>
      </c>
      <c r="E15" s="5">
        <v>3</v>
      </c>
      <c r="F15" s="5">
        <v>1.9000000000000001E-5</v>
      </c>
      <c r="G15" s="5">
        <v>1.6</v>
      </c>
      <c r="H15" s="5">
        <v>3.5</v>
      </c>
      <c r="I15" s="5" t="s">
        <v>356</v>
      </c>
      <c r="J15" s="5" t="s">
        <v>47</v>
      </c>
      <c r="K15" s="5" t="s">
        <v>114</v>
      </c>
      <c r="L15" s="5">
        <v>9.32</v>
      </c>
      <c r="M15" s="5" t="s">
        <v>116</v>
      </c>
      <c r="N15" s="5">
        <v>10.89</v>
      </c>
      <c r="O15" s="5">
        <v>0.85</v>
      </c>
      <c r="P15" s="5">
        <v>750</v>
      </c>
      <c r="Q15" s="5" t="s">
        <v>72</v>
      </c>
    </row>
    <row r="16" spans="1:17" hidden="1">
      <c r="A16" s="7" t="str">
        <f>HYPERLINK("https://www.analog.com/en/ADXL317#details", "ADXL317")</f>
        <v>ADXL317</v>
      </c>
      <c r="B16" s="5" t="s">
        <v>372</v>
      </c>
      <c r="C16" s="5" t="s">
        <v>57</v>
      </c>
      <c r="D16" s="5">
        <v>16</v>
      </c>
      <c r="E16" s="5">
        <v>3</v>
      </c>
      <c r="F16" s="5">
        <v>5.0000000000000001E-3</v>
      </c>
      <c r="G16" s="5">
        <v>3</v>
      </c>
      <c r="H16" s="5">
        <v>3.6</v>
      </c>
      <c r="I16" s="5" t="s">
        <v>373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>
        <v>0</v>
      </c>
      <c r="Q16" s="5" t="s">
        <v>40</v>
      </c>
    </row>
    <row r="17" spans="1:17" hidden="1">
      <c r="A17" s="7" t="str">
        <f>HYPERLINK("https://www.analog.com/en/ADCMXL1021-1#details", "ADCMXL1021-1")</f>
        <v>ADCMXL1021-1</v>
      </c>
      <c r="B17" s="5" t="s">
        <v>374</v>
      </c>
      <c r="C17" s="5" t="s">
        <v>57</v>
      </c>
      <c r="D17" s="5">
        <v>50</v>
      </c>
      <c r="E17" s="5">
        <v>1</v>
      </c>
      <c r="F17" s="5">
        <v>2.3900000000000001E-2</v>
      </c>
      <c r="G17" s="5">
        <v>3</v>
      </c>
      <c r="H17" s="5">
        <v>3.6</v>
      </c>
      <c r="I17" s="5" t="s">
        <v>125</v>
      </c>
      <c r="J17" s="5" t="s">
        <v>47</v>
      </c>
      <c r="K17" s="5" t="s">
        <v>114</v>
      </c>
      <c r="L17" s="5">
        <v>175.78</v>
      </c>
      <c r="M17" s="5" t="s">
        <v>127</v>
      </c>
      <c r="N17" s="5">
        <v>639.9</v>
      </c>
      <c r="O17" s="5">
        <v>12.4</v>
      </c>
      <c r="P17" s="5">
        <v>1</v>
      </c>
      <c r="Q17" s="5" t="s">
        <v>40</v>
      </c>
    </row>
    <row r="18" spans="1:17" hidden="1">
      <c r="A18" s="7" t="str">
        <f>HYPERLINK("https://www.analog.com/en/ADCMXL3021#details", "ADCMXL3021")</f>
        <v>ADCMXL3021</v>
      </c>
      <c r="B18" s="5" t="s">
        <v>375</v>
      </c>
      <c r="C18" s="5" t="s">
        <v>57</v>
      </c>
      <c r="D18" s="5">
        <v>50</v>
      </c>
      <c r="E18" s="5">
        <v>3</v>
      </c>
      <c r="F18" s="5">
        <v>3.1E-2</v>
      </c>
      <c r="G18" s="5">
        <v>3</v>
      </c>
      <c r="H18" s="5">
        <v>3.6</v>
      </c>
      <c r="I18" s="5" t="s">
        <v>125</v>
      </c>
      <c r="J18" s="5" t="s">
        <v>47</v>
      </c>
      <c r="K18" s="5" t="s">
        <v>114</v>
      </c>
      <c r="L18" s="5">
        <v>235.16</v>
      </c>
      <c r="M18" s="5" t="s">
        <v>127</v>
      </c>
      <c r="N18" s="5">
        <v>639.9</v>
      </c>
      <c r="O18" s="5">
        <v>12.4</v>
      </c>
      <c r="P18" s="5">
        <v>23</v>
      </c>
      <c r="Q18" s="5" t="s">
        <v>72</v>
      </c>
    </row>
    <row r="19" spans="1:17" hidden="1">
      <c r="A19" s="7" t="str">
        <f>HYPERLINK("https://www.analog.com/en/ADXL1003#details", "ADXL1003")</f>
        <v>ADXL1003</v>
      </c>
      <c r="B19" s="5" t="s">
        <v>376</v>
      </c>
      <c r="C19" s="5" t="s">
        <v>79</v>
      </c>
      <c r="D19" s="5">
        <v>200</v>
      </c>
      <c r="E19" s="5">
        <v>1</v>
      </c>
      <c r="F19" s="5">
        <v>1E-3</v>
      </c>
      <c r="G19" s="5">
        <v>3</v>
      </c>
      <c r="H19" s="5">
        <v>5.25</v>
      </c>
      <c r="I19" s="5" t="s">
        <v>25</v>
      </c>
      <c r="J19" s="5" t="s">
        <v>138</v>
      </c>
      <c r="K19" s="5" t="s">
        <v>48</v>
      </c>
      <c r="L19" s="5">
        <v>38.97</v>
      </c>
      <c r="M19" s="5" t="s">
        <v>140</v>
      </c>
      <c r="N19" s="5">
        <v>25</v>
      </c>
      <c r="O19" s="5">
        <v>1.8</v>
      </c>
      <c r="P19" s="5">
        <v>1384</v>
      </c>
      <c r="Q19" s="5" t="s">
        <v>40</v>
      </c>
    </row>
    <row r="20" spans="1:17" hidden="1">
      <c r="A20" s="7" t="str">
        <f>HYPERLINK("https://www.analog.com/en/ADXL1005#details", "ADXL1005")</f>
        <v>ADXL1005</v>
      </c>
      <c r="B20" s="5" t="s">
        <v>376</v>
      </c>
      <c r="C20" s="5" t="s">
        <v>79</v>
      </c>
      <c r="D20" s="5">
        <v>100</v>
      </c>
      <c r="E20" s="5">
        <v>1</v>
      </c>
      <c r="F20" s="5">
        <v>1E-3</v>
      </c>
      <c r="G20" s="5">
        <v>3</v>
      </c>
      <c r="H20" s="5">
        <v>5.25</v>
      </c>
      <c r="I20" s="5" t="s">
        <v>25</v>
      </c>
      <c r="J20" s="5" t="s">
        <v>138</v>
      </c>
      <c r="K20" s="5" t="s">
        <v>48</v>
      </c>
      <c r="L20" s="5">
        <v>47.23</v>
      </c>
      <c r="M20" s="5" t="s">
        <v>140</v>
      </c>
      <c r="N20" s="5">
        <v>25</v>
      </c>
      <c r="O20" s="5">
        <v>1.8</v>
      </c>
      <c r="P20" s="5">
        <v>13064</v>
      </c>
      <c r="Q20" s="5" t="s">
        <v>40</v>
      </c>
    </row>
    <row r="21" spans="1:17" hidden="1">
      <c r="A21" s="7" t="str">
        <f>HYPERLINK("https://www.analog.com/en/ADXL1004#details", "ADXL1004")</f>
        <v>ADXL1004</v>
      </c>
      <c r="B21" s="5" t="s">
        <v>376</v>
      </c>
      <c r="C21" s="5" t="s">
        <v>79</v>
      </c>
      <c r="D21" s="5">
        <v>500</v>
      </c>
      <c r="E21" s="5">
        <v>1</v>
      </c>
      <c r="F21" s="5">
        <v>1E-3</v>
      </c>
      <c r="G21" s="5">
        <v>3</v>
      </c>
      <c r="H21" s="5">
        <v>5.25</v>
      </c>
      <c r="I21" s="5" t="s">
        <v>25</v>
      </c>
      <c r="J21" s="5" t="s">
        <v>138</v>
      </c>
      <c r="K21" s="5" t="s">
        <v>48</v>
      </c>
      <c r="L21" s="5">
        <v>42.96</v>
      </c>
      <c r="M21" s="5" t="s">
        <v>140</v>
      </c>
      <c r="N21" s="5">
        <v>25</v>
      </c>
      <c r="O21" s="5">
        <v>1.8</v>
      </c>
      <c r="P21" s="5">
        <v>1132</v>
      </c>
      <c r="Q21" s="5" t="s">
        <v>40</v>
      </c>
    </row>
    <row r="22" spans="1:17" hidden="1">
      <c r="A22" s="7" t="str">
        <f>HYPERLINK("https://www.analog.com/en/ADXL251#details", "ADXL251")</f>
        <v>ADXL251</v>
      </c>
      <c r="B22" s="5" t="s">
        <v>377</v>
      </c>
      <c r="C22" s="5" t="s">
        <v>25</v>
      </c>
      <c r="D22" s="5" t="s">
        <v>378</v>
      </c>
      <c r="E22" s="5">
        <v>2</v>
      </c>
      <c r="F22" s="5">
        <v>6.0000000000000001E-3</v>
      </c>
      <c r="G22" s="5">
        <v>3.1349999999999998</v>
      </c>
      <c r="H22" s="5">
        <v>11</v>
      </c>
      <c r="I22" s="5" t="s">
        <v>379</v>
      </c>
      <c r="J22" s="5" t="s">
        <v>47</v>
      </c>
      <c r="K22" s="5" t="s">
        <v>48</v>
      </c>
      <c r="L22" s="5" t="s">
        <v>25</v>
      </c>
      <c r="M22" s="5" t="s">
        <v>155</v>
      </c>
      <c r="N22" s="5">
        <v>16</v>
      </c>
      <c r="O22" s="5">
        <v>1.45</v>
      </c>
      <c r="P22" s="5">
        <v>0</v>
      </c>
      <c r="Q22" s="5" t="s">
        <v>72</v>
      </c>
    </row>
    <row r="23" spans="1:17" hidden="1">
      <c r="A23" s="7" t="str">
        <f>HYPERLINK("https://www.analog.com/en/ADXL1001#details", "ADXL1001")</f>
        <v>ADXL1001</v>
      </c>
      <c r="B23" s="5" t="s">
        <v>380</v>
      </c>
      <c r="C23" s="5" t="s">
        <v>79</v>
      </c>
      <c r="D23" s="5">
        <v>100</v>
      </c>
      <c r="E23" s="5">
        <v>1</v>
      </c>
      <c r="F23" s="5">
        <v>1E-3</v>
      </c>
      <c r="G23" s="5">
        <v>3</v>
      </c>
      <c r="H23" s="5">
        <v>5.25</v>
      </c>
      <c r="I23" s="5" t="s">
        <v>25</v>
      </c>
      <c r="J23" s="5" t="s">
        <v>138</v>
      </c>
      <c r="K23" s="5" t="s">
        <v>48</v>
      </c>
      <c r="L23" s="5">
        <v>35.549999999999997</v>
      </c>
      <c r="M23" s="5" t="s">
        <v>140</v>
      </c>
      <c r="N23" s="5">
        <v>25</v>
      </c>
      <c r="O23" s="5">
        <v>1.8</v>
      </c>
      <c r="P23" s="5">
        <v>1340</v>
      </c>
      <c r="Q23" s="5" t="s">
        <v>40</v>
      </c>
    </row>
    <row r="24" spans="1:17" hidden="1">
      <c r="A24" s="7" t="str">
        <f>HYPERLINK("https://www.analog.com/en/ADXL1002#details", "ADXL1002")</f>
        <v>ADXL1002</v>
      </c>
      <c r="B24" s="5" t="s">
        <v>381</v>
      </c>
      <c r="C24" s="5" t="s">
        <v>79</v>
      </c>
      <c r="D24" s="5">
        <v>50</v>
      </c>
      <c r="E24" s="5">
        <v>1</v>
      </c>
      <c r="F24" s="5">
        <v>1E-3</v>
      </c>
      <c r="G24" s="5">
        <v>3</v>
      </c>
      <c r="H24" s="5">
        <v>5.25</v>
      </c>
      <c r="I24" s="5" t="s">
        <v>25</v>
      </c>
      <c r="J24" s="5" t="s">
        <v>138</v>
      </c>
      <c r="K24" s="5" t="s">
        <v>48</v>
      </c>
      <c r="L24" s="5">
        <v>35.549999999999997</v>
      </c>
      <c r="M24" s="5" t="s">
        <v>140</v>
      </c>
      <c r="N24" s="5">
        <v>25</v>
      </c>
      <c r="O24" s="5">
        <v>1.8</v>
      </c>
      <c r="P24" s="5">
        <v>257</v>
      </c>
      <c r="Q24" s="5" t="s">
        <v>40</v>
      </c>
    </row>
    <row r="25" spans="1:17" hidden="1">
      <c r="A25" s="7" t="str">
        <f>HYPERLINK("https://www.analog.com/en/ADXL372#details", "ADXL372")</f>
        <v>ADXL372</v>
      </c>
      <c r="B25" s="5" t="s">
        <v>382</v>
      </c>
      <c r="C25" s="5" t="s">
        <v>57</v>
      </c>
      <c r="D25" s="5">
        <v>200</v>
      </c>
      <c r="E25" s="5">
        <v>3</v>
      </c>
      <c r="F25" s="5">
        <v>2.1999999999999999E-5</v>
      </c>
      <c r="G25" s="5">
        <v>1.6</v>
      </c>
      <c r="H25" s="5">
        <v>3.5</v>
      </c>
      <c r="I25" s="5" t="s">
        <v>356</v>
      </c>
      <c r="J25" s="5" t="s">
        <v>383</v>
      </c>
      <c r="K25" s="5" t="s">
        <v>114</v>
      </c>
      <c r="L25" s="5">
        <v>8.1300000000000008</v>
      </c>
      <c r="M25" s="5" t="s">
        <v>116</v>
      </c>
      <c r="N25" s="5">
        <v>10.89</v>
      </c>
      <c r="O25" s="5">
        <v>0.85</v>
      </c>
      <c r="P25" s="5">
        <v>2730</v>
      </c>
      <c r="Q25" s="5" t="s">
        <v>40</v>
      </c>
    </row>
    <row r="26" spans="1:17">
      <c r="A26" s="7" t="str">
        <f>HYPERLINK("https://www.analog.com/en/ADXL356#details", "ADXL356")</f>
        <v>ADXL356</v>
      </c>
      <c r="B26" s="5" t="s">
        <v>365</v>
      </c>
      <c r="C26" s="5" t="s">
        <v>79</v>
      </c>
      <c r="D26" s="5" t="s">
        <v>363</v>
      </c>
      <c r="E26" s="5">
        <v>3</v>
      </c>
      <c r="F26" s="5">
        <v>1.4999999999999999E-4</v>
      </c>
      <c r="G26" s="5">
        <v>2.25</v>
      </c>
      <c r="H26" s="5">
        <v>3.6</v>
      </c>
      <c r="I26" s="5" t="s">
        <v>25</v>
      </c>
      <c r="J26" s="5" t="s">
        <v>47</v>
      </c>
      <c r="K26" s="5" t="s">
        <v>171</v>
      </c>
      <c r="L26" s="5">
        <v>36.83</v>
      </c>
      <c r="M26" s="5" t="s">
        <v>173</v>
      </c>
      <c r="N26" s="5">
        <v>39.0625</v>
      </c>
      <c r="O26" s="5">
        <v>2.25</v>
      </c>
      <c r="P26" s="5">
        <v>375</v>
      </c>
      <c r="Q26" s="5" t="s">
        <v>40</v>
      </c>
    </row>
    <row r="27" spans="1:17">
      <c r="A27" s="7" t="str">
        <f>HYPERLINK("https://www.analog.com/en/ADXL357#details", "ADXL357")</f>
        <v>ADXL357</v>
      </c>
      <c r="B27" s="5" t="s">
        <v>384</v>
      </c>
      <c r="C27" s="5" t="s">
        <v>57</v>
      </c>
      <c r="D27" s="5" t="s">
        <v>363</v>
      </c>
      <c r="E27" s="5">
        <v>3</v>
      </c>
      <c r="F27" s="5">
        <v>2.0000000000000001E-4</v>
      </c>
      <c r="G27" s="5">
        <v>2.25</v>
      </c>
      <c r="H27" s="5">
        <v>3.6</v>
      </c>
      <c r="I27" s="5" t="s">
        <v>356</v>
      </c>
      <c r="J27" s="5" t="s">
        <v>47</v>
      </c>
      <c r="K27" s="5" t="s">
        <v>48</v>
      </c>
      <c r="L27" s="5">
        <v>48.35</v>
      </c>
      <c r="M27" s="5" t="s">
        <v>173</v>
      </c>
      <c r="N27" s="5">
        <v>39.0625</v>
      </c>
      <c r="O27" s="5">
        <v>2.25</v>
      </c>
      <c r="P27" s="5">
        <v>0</v>
      </c>
      <c r="Q27" s="5" t="s">
        <v>40</v>
      </c>
    </row>
    <row r="28" spans="1:17">
      <c r="A28" s="7" t="str">
        <f>HYPERLINK("https://www.analog.com/en/ADXL354#details", "ADXL354")</f>
        <v>ADXL354</v>
      </c>
      <c r="B28" s="5" t="s">
        <v>385</v>
      </c>
      <c r="C28" s="5" t="s">
        <v>79</v>
      </c>
      <c r="D28" s="5" t="s">
        <v>369</v>
      </c>
      <c r="E28" s="5">
        <v>3</v>
      </c>
      <c r="F28" s="5">
        <v>1.4999999999999999E-4</v>
      </c>
      <c r="G28" s="5">
        <v>2.25</v>
      </c>
      <c r="H28" s="5">
        <v>3.6</v>
      </c>
      <c r="I28" s="5" t="s">
        <v>87</v>
      </c>
      <c r="J28" s="5" t="s">
        <v>47</v>
      </c>
      <c r="K28" s="5" t="s">
        <v>48</v>
      </c>
      <c r="L28" s="5">
        <v>32.74</v>
      </c>
      <c r="M28" s="5" t="s">
        <v>173</v>
      </c>
      <c r="N28" s="5">
        <v>39.0625</v>
      </c>
      <c r="O28" s="5">
        <v>2.25</v>
      </c>
      <c r="P28" s="5">
        <v>4674</v>
      </c>
      <c r="Q28" s="5" t="s">
        <v>40</v>
      </c>
    </row>
    <row r="29" spans="1:17">
      <c r="A29" s="7" t="str">
        <f>HYPERLINK("https://www.analog.com/en/ADXL355#details", "ADXL355")</f>
        <v>ADXL355</v>
      </c>
      <c r="B29" s="5" t="s">
        <v>385</v>
      </c>
      <c r="C29" s="5" t="s">
        <v>57</v>
      </c>
      <c r="D29" s="5" t="s">
        <v>369</v>
      </c>
      <c r="E29" s="5">
        <v>3</v>
      </c>
      <c r="F29" s="5">
        <v>2.0000000000000001E-4</v>
      </c>
      <c r="G29" s="5">
        <v>2.25</v>
      </c>
      <c r="H29" s="5">
        <v>3.6</v>
      </c>
      <c r="I29" s="5" t="s">
        <v>356</v>
      </c>
      <c r="J29" s="5" t="s">
        <v>47</v>
      </c>
      <c r="K29" s="5" t="s">
        <v>48</v>
      </c>
      <c r="L29" s="5">
        <v>36.380000000000003</v>
      </c>
      <c r="M29" s="5" t="s">
        <v>173</v>
      </c>
      <c r="N29" s="5">
        <v>39.0625</v>
      </c>
      <c r="O29" s="5">
        <v>2.25</v>
      </c>
      <c r="P29" s="5">
        <v>255</v>
      </c>
      <c r="Q29" s="5" t="s">
        <v>40</v>
      </c>
    </row>
    <row r="30" spans="1:17" hidden="1">
      <c r="A30" s="7" t="str">
        <f>HYPERLINK("https://www.analog.com/en/ADXL151#details", "ADXL151")</f>
        <v>ADXL151</v>
      </c>
      <c r="B30" s="5" t="s">
        <v>386</v>
      </c>
      <c r="C30" s="5" t="s">
        <v>57</v>
      </c>
      <c r="D30" s="5" t="s">
        <v>387</v>
      </c>
      <c r="E30" s="5">
        <v>1</v>
      </c>
      <c r="F30" s="5">
        <v>5.0000000000000001E-3</v>
      </c>
      <c r="G30" s="5">
        <v>4.5</v>
      </c>
      <c r="H30" s="5">
        <v>11</v>
      </c>
      <c r="I30" s="5" t="s">
        <v>189</v>
      </c>
      <c r="J30" s="5" t="s">
        <v>47</v>
      </c>
      <c r="K30" s="5" t="s">
        <v>48</v>
      </c>
      <c r="L30" s="5" t="s">
        <v>25</v>
      </c>
      <c r="M30" s="5" t="s">
        <v>69</v>
      </c>
      <c r="N30" s="5">
        <v>16</v>
      </c>
      <c r="O30" s="5">
        <v>1.45</v>
      </c>
      <c r="P30" s="5">
        <v>0</v>
      </c>
      <c r="Q30" s="5" t="s">
        <v>192</v>
      </c>
    </row>
    <row r="31" spans="1:17" hidden="1">
      <c r="A31" s="7" t="str">
        <f>HYPERLINK("https://www.analog.com/en/ADXL316#details", "ADXL316")</f>
        <v>ADXL316</v>
      </c>
      <c r="B31" s="5" t="s">
        <v>388</v>
      </c>
      <c r="C31" s="5" t="s">
        <v>79</v>
      </c>
      <c r="D31" s="5">
        <v>16</v>
      </c>
      <c r="E31" s="5">
        <v>3</v>
      </c>
      <c r="F31" s="5">
        <v>3.5E-4</v>
      </c>
      <c r="G31" s="5">
        <v>1.8</v>
      </c>
      <c r="H31" s="5">
        <v>3.6</v>
      </c>
      <c r="I31" s="5" t="s">
        <v>25</v>
      </c>
      <c r="J31" s="5" t="s">
        <v>25</v>
      </c>
      <c r="K31" s="5" t="s">
        <v>114</v>
      </c>
      <c r="L31" s="5">
        <v>4.59</v>
      </c>
      <c r="M31" s="5" t="s">
        <v>69</v>
      </c>
      <c r="N31" s="5">
        <v>16.809999999999999</v>
      </c>
      <c r="O31" s="5">
        <v>1.45</v>
      </c>
      <c r="P31" s="5">
        <v>195</v>
      </c>
      <c r="Q31" s="5" t="s">
        <v>40</v>
      </c>
    </row>
    <row r="32" spans="1:17" hidden="1">
      <c r="A32" s="7" t="str">
        <f>HYPERLINK("https://www.analog.com/en/ADXL700#details", "ADXL700")</f>
        <v>ADXL700</v>
      </c>
      <c r="B32" s="5" t="s">
        <v>389</v>
      </c>
      <c r="C32" s="5" t="s">
        <v>57</v>
      </c>
      <c r="D32" s="5">
        <v>14.2</v>
      </c>
      <c r="E32" s="5">
        <v>3</v>
      </c>
      <c r="F32" s="5">
        <v>5.0000000000000001E-3</v>
      </c>
      <c r="G32" s="5">
        <v>3.3</v>
      </c>
      <c r="H32" s="5">
        <v>5</v>
      </c>
      <c r="I32" s="5" t="s">
        <v>125</v>
      </c>
      <c r="J32" s="5" t="s">
        <v>47</v>
      </c>
      <c r="K32" s="5" t="s">
        <v>114</v>
      </c>
      <c r="L32" s="5" t="s">
        <v>25</v>
      </c>
      <c r="M32" s="5" t="s">
        <v>202</v>
      </c>
      <c r="N32" s="5">
        <v>111.825</v>
      </c>
      <c r="O32" s="5">
        <v>2.65</v>
      </c>
      <c r="P32" s="5">
        <v>0</v>
      </c>
      <c r="Q32" s="5" t="s">
        <v>40</v>
      </c>
    </row>
    <row r="33" spans="1:17" hidden="1">
      <c r="A33" s="7" t="str">
        <f>HYPERLINK("https://www.analog.com/en/ADXL185B#details", "ADXL185B")</f>
        <v>ADXL185B</v>
      </c>
      <c r="B33" s="5" t="s">
        <v>390</v>
      </c>
      <c r="C33" s="5" t="s">
        <v>25</v>
      </c>
      <c r="D33" s="5" t="s">
        <v>391</v>
      </c>
      <c r="E33" s="5">
        <v>1</v>
      </c>
      <c r="F33" s="5">
        <v>5.0000000000000001E-3</v>
      </c>
      <c r="G33" s="5">
        <v>5</v>
      </c>
      <c r="H33" s="5">
        <v>11</v>
      </c>
      <c r="I33" s="5" t="s">
        <v>189</v>
      </c>
      <c r="J33" s="5" t="s">
        <v>47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>
        <v>0</v>
      </c>
      <c r="Q33" s="5" t="s">
        <v>192</v>
      </c>
    </row>
    <row r="34" spans="1:17" hidden="1">
      <c r="A34" s="7" t="str">
        <f>HYPERLINK("https://www.analog.com/en/ADXL189B#details", "ADXL189B")</f>
        <v>ADXL189B</v>
      </c>
      <c r="B34" s="5" t="s">
        <v>392</v>
      </c>
      <c r="C34" s="5" t="s">
        <v>57</v>
      </c>
      <c r="D34" s="5" t="s">
        <v>391</v>
      </c>
      <c r="E34" s="5">
        <v>1</v>
      </c>
      <c r="F34" s="5">
        <v>5.0000000000000001E-3</v>
      </c>
      <c r="G34" s="5">
        <v>5</v>
      </c>
      <c r="H34" s="5">
        <v>11</v>
      </c>
      <c r="I34" s="5" t="s">
        <v>189</v>
      </c>
      <c r="J34" s="5" t="s">
        <v>47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>
        <v>0</v>
      </c>
      <c r="Q34" s="5" t="s">
        <v>192</v>
      </c>
    </row>
    <row r="35" spans="1:17" hidden="1">
      <c r="A35" s="7" t="str">
        <f>HYPERLINK("https://www.analog.com/en/ADXL363#details", "ADXL363")</f>
        <v>ADXL363</v>
      </c>
      <c r="B35" s="5" t="s">
        <v>208</v>
      </c>
      <c r="C35" s="5" t="s">
        <v>57</v>
      </c>
      <c r="D35" s="5" t="s">
        <v>369</v>
      </c>
      <c r="E35" s="5">
        <v>3</v>
      </c>
      <c r="F35" s="5">
        <v>1.7999999999999999E-6</v>
      </c>
      <c r="G35" s="5">
        <v>1.6</v>
      </c>
      <c r="H35" s="5">
        <v>3.5</v>
      </c>
      <c r="I35" s="5" t="s">
        <v>125</v>
      </c>
      <c r="J35" s="5" t="s">
        <v>47</v>
      </c>
      <c r="K35" s="5" t="s">
        <v>35</v>
      </c>
      <c r="L35" s="5">
        <v>4.45</v>
      </c>
      <c r="M35" s="5" t="s">
        <v>116</v>
      </c>
      <c r="N35" s="5">
        <v>10.89</v>
      </c>
      <c r="O35" s="5">
        <v>0.85</v>
      </c>
      <c r="P35" s="5">
        <v>9319</v>
      </c>
      <c r="Q35" s="5" t="s">
        <v>40</v>
      </c>
    </row>
    <row r="36" spans="1:17" hidden="1">
      <c r="A36" s="7" t="str">
        <f>HYPERLINK("https://www.analog.com/en/ADXL375#details", "ADXL375")</f>
        <v>ADXL375</v>
      </c>
      <c r="B36" s="5" t="s">
        <v>393</v>
      </c>
      <c r="C36" s="5" t="s">
        <v>57</v>
      </c>
      <c r="D36" s="5">
        <v>200</v>
      </c>
      <c r="E36" s="5">
        <v>3</v>
      </c>
      <c r="F36" s="5">
        <v>1.45E-4</v>
      </c>
      <c r="G36" s="5">
        <v>2</v>
      </c>
      <c r="H36" s="5">
        <v>3.6</v>
      </c>
      <c r="I36" s="5" t="s">
        <v>356</v>
      </c>
      <c r="J36" s="5" t="s">
        <v>383</v>
      </c>
      <c r="K36" s="5" t="s">
        <v>215</v>
      </c>
      <c r="L36" s="5">
        <v>5.8</v>
      </c>
      <c r="M36" s="5" t="s">
        <v>217</v>
      </c>
      <c r="N36" s="5">
        <v>15</v>
      </c>
      <c r="O36" s="5">
        <v>0.95</v>
      </c>
      <c r="P36" s="5">
        <v>968</v>
      </c>
      <c r="Q36" s="5" t="s">
        <v>40</v>
      </c>
    </row>
    <row r="37" spans="1:17" hidden="1">
      <c r="A37" s="7" t="str">
        <f>HYPERLINK("https://www.analog.com/en/ADXL313#details", "ADXL313")</f>
        <v>ADXL313</v>
      </c>
      <c r="B37" s="5" t="s">
        <v>394</v>
      </c>
      <c r="C37" s="5" t="s">
        <v>57</v>
      </c>
      <c r="D37" s="5" t="s">
        <v>395</v>
      </c>
      <c r="E37" s="5">
        <v>3</v>
      </c>
      <c r="F37" s="5">
        <v>1.7000000000000001E-4</v>
      </c>
      <c r="G37" s="5">
        <v>2</v>
      </c>
      <c r="H37" s="5">
        <v>3.6</v>
      </c>
      <c r="I37" s="5" t="s">
        <v>356</v>
      </c>
      <c r="J37" s="5" t="s">
        <v>25</v>
      </c>
      <c r="K37" s="5" t="s">
        <v>114</v>
      </c>
      <c r="L37" s="5">
        <v>5.15</v>
      </c>
      <c r="M37" s="5" t="s">
        <v>223</v>
      </c>
      <c r="N37" s="5">
        <v>25</v>
      </c>
      <c r="O37" s="5">
        <v>1.55</v>
      </c>
      <c r="P37" s="5">
        <v>0</v>
      </c>
      <c r="Q37" s="5" t="s">
        <v>40</v>
      </c>
    </row>
    <row r="38" spans="1:17" hidden="1">
      <c r="A38" s="7" t="str">
        <f>HYPERLINK("https://www.analog.com/en/ADXL195#details", "ADXL195")</f>
        <v>ADXL195</v>
      </c>
      <c r="B38" s="5" t="s">
        <v>396</v>
      </c>
      <c r="C38" s="5" t="s">
        <v>25</v>
      </c>
      <c r="D38" s="5">
        <v>120</v>
      </c>
      <c r="E38" s="5">
        <v>1</v>
      </c>
      <c r="F38" s="5" t="s">
        <v>25</v>
      </c>
      <c r="G38" s="5">
        <v>3.3</v>
      </c>
      <c r="H38" s="5">
        <v>5</v>
      </c>
      <c r="I38" s="5" t="s">
        <v>125</v>
      </c>
      <c r="J38" s="5" t="s">
        <v>47</v>
      </c>
      <c r="K38" s="5" t="s">
        <v>25</v>
      </c>
      <c r="L38" s="5" t="s">
        <v>25</v>
      </c>
      <c r="M38" s="5" t="s">
        <v>25</v>
      </c>
      <c r="N38" s="5">
        <v>1.68</v>
      </c>
      <c r="O38" s="5">
        <v>39.8202</v>
      </c>
      <c r="P38" s="5">
        <v>0</v>
      </c>
      <c r="Q38" s="5" t="s">
        <v>229</v>
      </c>
    </row>
    <row r="39" spans="1:17" hidden="1">
      <c r="A39" s="7" t="str">
        <f>HYPERLINK("https://www.analog.com/en/ADXL288#details", "ADXL288")</f>
        <v>ADXL288</v>
      </c>
      <c r="B39" s="5" t="s">
        <v>397</v>
      </c>
      <c r="C39" s="5" t="s">
        <v>57</v>
      </c>
      <c r="D39" s="5">
        <v>120</v>
      </c>
      <c r="E39" s="5">
        <v>2</v>
      </c>
      <c r="F39" s="5">
        <v>7.0000000000000001E-3</v>
      </c>
      <c r="G39" s="5">
        <v>3.1349999999999998</v>
      </c>
      <c r="H39" s="5">
        <v>5.25</v>
      </c>
      <c r="I39" s="5" t="s">
        <v>125</v>
      </c>
      <c r="J39" s="5" t="s">
        <v>47</v>
      </c>
      <c r="K39" s="5" t="s">
        <v>114</v>
      </c>
      <c r="L39" s="5" t="s">
        <v>25</v>
      </c>
      <c r="M39" s="5" t="s">
        <v>232</v>
      </c>
      <c r="N39" s="5">
        <v>39.8202</v>
      </c>
      <c r="O39" s="5">
        <v>1.68</v>
      </c>
      <c r="P39" s="5">
        <v>0</v>
      </c>
      <c r="Q39" s="5" t="s">
        <v>192</v>
      </c>
    </row>
    <row r="40" spans="1:17" hidden="1">
      <c r="A40" s="7" t="str">
        <f>HYPERLINK("https://www.analog.com/en/ADXL295#details", "ADXL295")</f>
        <v>ADXL295</v>
      </c>
      <c r="B40" s="5" t="s">
        <v>398</v>
      </c>
      <c r="C40" s="5" t="s">
        <v>57</v>
      </c>
      <c r="D40" s="5">
        <v>120</v>
      </c>
      <c r="E40" s="5">
        <v>2</v>
      </c>
      <c r="F40" s="5">
        <v>7.0000000000000001E-3</v>
      </c>
      <c r="G40" s="5">
        <v>3.3</v>
      </c>
      <c r="H40" s="5">
        <v>5</v>
      </c>
      <c r="I40" s="5" t="s">
        <v>125</v>
      </c>
      <c r="J40" s="5" t="s">
        <v>47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>
        <v>0</v>
      </c>
      <c r="Q40" s="5" t="s">
        <v>229</v>
      </c>
    </row>
    <row r="41" spans="1:17" hidden="1">
      <c r="A41" s="7" t="str">
        <f>HYPERLINK("https://www.analog.com/en/ADXL377#details", "ADXL377")</f>
        <v>ADXL377</v>
      </c>
      <c r="B41" s="5" t="s">
        <v>399</v>
      </c>
      <c r="C41" s="5" t="s">
        <v>25</v>
      </c>
      <c r="D41" s="5">
        <v>200</v>
      </c>
      <c r="E41" s="5">
        <v>3</v>
      </c>
      <c r="F41" s="5">
        <v>2.9999999999999997E-4</v>
      </c>
      <c r="G41" s="5">
        <v>1.8</v>
      </c>
      <c r="H41" s="5">
        <v>3.6</v>
      </c>
      <c r="I41" s="5" t="s">
        <v>25</v>
      </c>
      <c r="J41" s="5" t="s">
        <v>383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>
        <v>0</v>
      </c>
      <c r="Q41" s="5" t="s">
        <v>192</v>
      </c>
    </row>
    <row r="42" spans="1:17" hidden="1">
      <c r="A42" s="7" t="str">
        <f>HYPERLINK("https://www.analog.com/en/ADXL362#details", "ADXL362")</f>
        <v>ADXL362</v>
      </c>
      <c r="B42" s="5" t="s">
        <v>400</v>
      </c>
      <c r="C42" s="5" t="s">
        <v>57</v>
      </c>
      <c r="D42" s="5" t="s">
        <v>369</v>
      </c>
      <c r="E42" s="5">
        <v>3</v>
      </c>
      <c r="F42" s="5">
        <v>1.7999999999999999E-6</v>
      </c>
      <c r="G42" s="5">
        <v>1.6</v>
      </c>
      <c r="H42" s="5">
        <v>3.5</v>
      </c>
      <c r="I42" s="5" t="s">
        <v>125</v>
      </c>
      <c r="J42" s="5" t="s">
        <v>47</v>
      </c>
      <c r="K42" s="5" t="s">
        <v>35</v>
      </c>
      <c r="L42" s="5">
        <v>3.42</v>
      </c>
      <c r="M42" s="5" t="s">
        <v>116</v>
      </c>
      <c r="N42" s="5">
        <v>10.89</v>
      </c>
      <c r="O42" s="5">
        <v>0.85</v>
      </c>
      <c r="P42" s="5">
        <v>15180</v>
      </c>
      <c r="Q42" s="5" t="s">
        <v>40</v>
      </c>
    </row>
    <row r="43" spans="1:17" hidden="1">
      <c r="A43" s="7" t="str">
        <f>HYPERLINK("https://www.analog.com/en/ADXL343#details", "ADXL343")</f>
        <v>ADXL343</v>
      </c>
      <c r="B43" s="5" t="s">
        <v>401</v>
      </c>
      <c r="C43" s="5" t="s">
        <v>57</v>
      </c>
      <c r="D43" s="5" t="s">
        <v>402</v>
      </c>
      <c r="E43" s="5">
        <v>3</v>
      </c>
      <c r="F43" s="5">
        <v>1.3999999999999999E-4</v>
      </c>
      <c r="G43" s="5">
        <v>2</v>
      </c>
      <c r="H43" s="5">
        <v>3.6</v>
      </c>
      <c r="I43" s="5" t="s">
        <v>356</v>
      </c>
      <c r="J43" s="5" t="s">
        <v>47</v>
      </c>
      <c r="K43" s="5" t="s">
        <v>35</v>
      </c>
      <c r="L43" s="5">
        <v>1.36</v>
      </c>
      <c r="M43" s="5" t="s">
        <v>217</v>
      </c>
      <c r="N43" s="5">
        <v>15</v>
      </c>
      <c r="O43" s="5">
        <v>0.95</v>
      </c>
      <c r="P43" s="5">
        <v>5399</v>
      </c>
      <c r="Q43" s="5" t="s">
        <v>40</v>
      </c>
    </row>
    <row r="44" spans="1:17" hidden="1">
      <c r="A44" s="7" t="str">
        <f>HYPERLINK("https://www.analog.com/en/ADXL344#details", "ADXL344")</f>
        <v>ADXL344</v>
      </c>
      <c r="B44" s="5" t="s">
        <v>403</v>
      </c>
      <c r="C44" s="5" t="s">
        <v>57</v>
      </c>
      <c r="D44" s="5" t="s">
        <v>402</v>
      </c>
      <c r="E44" s="5">
        <v>3</v>
      </c>
      <c r="F44" s="5">
        <v>1.3999999999999999E-4</v>
      </c>
      <c r="G44" s="5">
        <v>1.7</v>
      </c>
      <c r="H44" s="5">
        <v>2.75</v>
      </c>
      <c r="I44" s="5" t="s">
        <v>356</v>
      </c>
      <c r="J44" s="5" t="s">
        <v>47</v>
      </c>
      <c r="K44" s="5" t="s">
        <v>35</v>
      </c>
      <c r="L44" s="5">
        <v>1.4</v>
      </c>
      <c r="M44" s="5" t="s">
        <v>252</v>
      </c>
      <c r="N44" s="5">
        <v>9.61</v>
      </c>
      <c r="O44" s="5">
        <v>0.95</v>
      </c>
      <c r="P44" s="5">
        <v>597</v>
      </c>
      <c r="Q44" s="5" t="s">
        <v>40</v>
      </c>
    </row>
    <row r="45" spans="1:17">
      <c r="A45" s="7" t="str">
        <f>HYPERLINK("https://www.analog.com/en/ADXL350#details", "ADXL350")</f>
        <v>ADXL350</v>
      </c>
      <c r="B45" s="5" t="s">
        <v>255</v>
      </c>
      <c r="C45" s="5" t="s">
        <v>57</v>
      </c>
      <c r="D45" s="5" t="s">
        <v>404</v>
      </c>
      <c r="E45" s="5">
        <v>3</v>
      </c>
      <c r="F45" s="5">
        <v>1.66E-4</v>
      </c>
      <c r="G45" s="5">
        <v>2</v>
      </c>
      <c r="H45" s="5">
        <v>3.6</v>
      </c>
      <c r="I45" s="5" t="s">
        <v>356</v>
      </c>
      <c r="J45" s="5" t="s">
        <v>25</v>
      </c>
      <c r="K45" s="5" t="s">
        <v>35</v>
      </c>
      <c r="L45" s="5">
        <v>4.41</v>
      </c>
      <c r="M45" s="5" t="s">
        <v>259</v>
      </c>
      <c r="N45" s="5">
        <v>12</v>
      </c>
      <c r="O45" s="5">
        <v>1.2</v>
      </c>
      <c r="P45" s="5">
        <v>1858</v>
      </c>
      <c r="Q45" s="5" t="s">
        <v>40</v>
      </c>
    </row>
    <row r="46" spans="1:17" hidden="1">
      <c r="A46" s="7" t="str">
        <f>HYPERLINK("https://www.analog.com/en/ADXL206#details", "ADXL206")</f>
        <v>ADXL206</v>
      </c>
      <c r="B46" s="5" t="s">
        <v>405</v>
      </c>
      <c r="C46" s="5" t="s">
        <v>79</v>
      </c>
      <c r="D46" s="5">
        <v>5</v>
      </c>
      <c r="E46" s="5">
        <v>2</v>
      </c>
      <c r="F46" s="5">
        <v>6.9999999999999999E-4</v>
      </c>
      <c r="G46" s="5">
        <v>4.75</v>
      </c>
      <c r="H46" s="5">
        <v>5.25</v>
      </c>
      <c r="I46" s="5" t="s">
        <v>25</v>
      </c>
      <c r="J46" s="5" t="s">
        <v>47</v>
      </c>
      <c r="K46" s="5" t="s">
        <v>265</v>
      </c>
      <c r="L46" s="5">
        <v>575.29</v>
      </c>
      <c r="M46" s="5" t="s">
        <v>267</v>
      </c>
      <c r="N46" s="5">
        <v>109.00620000000001</v>
      </c>
      <c r="O46" s="5">
        <v>3.5813999999999999</v>
      </c>
      <c r="P46" s="5">
        <v>0</v>
      </c>
      <c r="Q46" s="5" t="s">
        <v>40</v>
      </c>
    </row>
    <row r="47" spans="1:17" hidden="1">
      <c r="A47" s="7" t="str">
        <f>HYPERLINK("https://www.analog.com/en/ADXL212#details", "ADXL212")</f>
        <v>ADXL212</v>
      </c>
      <c r="B47" s="5" t="s">
        <v>270</v>
      </c>
      <c r="C47" s="5" t="s">
        <v>57</v>
      </c>
      <c r="D47" s="5">
        <v>2</v>
      </c>
      <c r="E47" s="5">
        <v>2</v>
      </c>
      <c r="F47" s="5">
        <v>6.9999999999999999E-4</v>
      </c>
      <c r="G47" s="5">
        <v>3</v>
      </c>
      <c r="H47" s="5">
        <v>5.25</v>
      </c>
      <c r="I47" s="5" t="s">
        <v>25</v>
      </c>
      <c r="J47" s="5" t="s">
        <v>25</v>
      </c>
      <c r="K47" s="5" t="s">
        <v>35</v>
      </c>
      <c r="L47" s="5">
        <v>15.84</v>
      </c>
      <c r="M47" s="5" t="s">
        <v>272</v>
      </c>
      <c r="N47" s="5">
        <v>26.586400000000001</v>
      </c>
      <c r="O47" s="5">
        <v>2.2098</v>
      </c>
      <c r="P47" s="5">
        <v>1174</v>
      </c>
      <c r="Q47" s="5" t="s">
        <v>229</v>
      </c>
    </row>
    <row r="48" spans="1:17" hidden="1">
      <c r="A48" s="7" t="str">
        <f>HYPERLINK("https://www.analog.com/en/ADIS16210#details", "ADIS16210")</f>
        <v>ADIS16210</v>
      </c>
      <c r="B48" s="5" t="s">
        <v>275</v>
      </c>
      <c r="C48" s="5" t="s">
        <v>57</v>
      </c>
      <c r="D48" s="5">
        <v>1.7</v>
      </c>
      <c r="E48" s="5">
        <v>3</v>
      </c>
      <c r="F48" s="5">
        <v>1.7999999999999999E-2</v>
      </c>
      <c r="G48" s="5">
        <v>3</v>
      </c>
      <c r="H48" s="5">
        <v>3.6</v>
      </c>
      <c r="I48" s="5" t="s">
        <v>125</v>
      </c>
      <c r="J48" s="5" t="s">
        <v>47</v>
      </c>
      <c r="K48" s="5" t="s">
        <v>48</v>
      </c>
      <c r="L48" s="5">
        <v>241.29</v>
      </c>
      <c r="M48" s="5" t="s">
        <v>278</v>
      </c>
      <c r="N48" s="5" t="s">
        <v>25</v>
      </c>
      <c r="O48" s="5" t="s">
        <v>25</v>
      </c>
      <c r="P48" s="5">
        <v>0</v>
      </c>
      <c r="Q48" s="5" t="s">
        <v>40</v>
      </c>
    </row>
    <row r="49" spans="1:17" hidden="1">
      <c r="A49" s="7" t="str">
        <f>HYPERLINK("https://www.analog.com/en/ADXL337#details", "ADXL337")</f>
        <v>ADXL337</v>
      </c>
      <c r="B49" s="5" t="s">
        <v>406</v>
      </c>
      <c r="C49" s="5" t="s">
        <v>79</v>
      </c>
      <c r="D49" s="5">
        <v>3</v>
      </c>
      <c r="E49" s="5">
        <v>3</v>
      </c>
      <c r="F49" s="5">
        <v>3.5E-4</v>
      </c>
      <c r="G49" s="5">
        <v>1.8</v>
      </c>
      <c r="H49" s="5">
        <v>3.6</v>
      </c>
      <c r="I49" s="5" t="s">
        <v>25</v>
      </c>
      <c r="J49" s="5" t="s">
        <v>280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>
        <v>0</v>
      </c>
      <c r="Q49" s="5" t="s">
        <v>229</v>
      </c>
    </row>
    <row r="50" spans="1:17" hidden="1">
      <c r="A50" s="7" t="str">
        <f>HYPERLINK("https://www.analog.com/en/ADXL312#details", "ADXL312")</f>
        <v>ADXL312</v>
      </c>
      <c r="B50" s="5" t="s">
        <v>407</v>
      </c>
      <c r="C50" s="5" t="s">
        <v>57</v>
      </c>
      <c r="D50" s="5" t="s">
        <v>408</v>
      </c>
      <c r="E50" s="5">
        <v>3</v>
      </c>
      <c r="F50" s="5">
        <v>1.7000000000000001E-4</v>
      </c>
      <c r="G50" s="5">
        <v>2</v>
      </c>
      <c r="H50" s="5">
        <v>3.6</v>
      </c>
      <c r="I50" s="5" t="s">
        <v>356</v>
      </c>
      <c r="J50" s="5" t="s">
        <v>25</v>
      </c>
      <c r="K50" s="5" t="s">
        <v>114</v>
      </c>
      <c r="L50" s="5">
        <v>1.95</v>
      </c>
      <c r="M50" s="5" t="s">
        <v>223</v>
      </c>
      <c r="N50" s="5">
        <v>25</v>
      </c>
      <c r="O50" s="5">
        <v>1.55</v>
      </c>
      <c r="P50" s="5">
        <v>366</v>
      </c>
      <c r="Q50" s="5" t="s">
        <v>40</v>
      </c>
    </row>
    <row r="51" spans="1:17" hidden="1">
      <c r="A51" s="7" t="str">
        <f>HYPERLINK("https://www.analog.com/en/ADXL346#details", "ADXL346")</f>
        <v>ADXL346</v>
      </c>
      <c r="B51" s="5" t="s">
        <v>403</v>
      </c>
      <c r="C51" s="5" t="s">
        <v>57</v>
      </c>
      <c r="D51" s="5" t="s">
        <v>402</v>
      </c>
      <c r="E51" s="5">
        <v>3</v>
      </c>
      <c r="F51" s="5">
        <v>1.3999999999999999E-4</v>
      </c>
      <c r="G51" s="5">
        <v>1.7</v>
      </c>
      <c r="H51" s="5">
        <v>2.75</v>
      </c>
      <c r="I51" s="5" t="s">
        <v>356</v>
      </c>
      <c r="J51" s="5" t="s">
        <v>286</v>
      </c>
      <c r="K51" s="5" t="s">
        <v>35</v>
      </c>
      <c r="L51" s="5">
        <v>2.87</v>
      </c>
      <c r="M51" s="5" t="s">
        <v>252</v>
      </c>
      <c r="N51" s="5">
        <v>9.61</v>
      </c>
      <c r="O51" s="5">
        <v>0.95</v>
      </c>
      <c r="P51" s="5">
        <v>1064</v>
      </c>
      <c r="Q51" s="5" t="s">
        <v>72</v>
      </c>
    </row>
    <row r="52" spans="1:17" hidden="1">
      <c r="A52" s="7" t="str">
        <f>HYPERLINK("https://www.analog.com/en/ADXL325#details", "ADXL325")</f>
        <v>ADXL325</v>
      </c>
      <c r="B52" s="5" t="s">
        <v>409</v>
      </c>
      <c r="C52" s="5" t="s">
        <v>79</v>
      </c>
      <c r="D52" s="5">
        <v>6</v>
      </c>
      <c r="E52" s="5">
        <v>3</v>
      </c>
      <c r="F52" s="5">
        <v>3.5E-4</v>
      </c>
      <c r="G52" s="5">
        <v>1.8</v>
      </c>
      <c r="H52" s="5">
        <v>3.6</v>
      </c>
      <c r="I52" s="5" t="s">
        <v>25</v>
      </c>
      <c r="J52" s="5" t="s">
        <v>280</v>
      </c>
      <c r="K52" s="5" t="s">
        <v>35</v>
      </c>
      <c r="L52" s="5">
        <v>2.8</v>
      </c>
      <c r="M52" s="5" t="s">
        <v>292</v>
      </c>
      <c r="N52" s="5">
        <v>16</v>
      </c>
      <c r="O52" s="5">
        <v>1.5</v>
      </c>
      <c r="P52" s="5">
        <v>12173</v>
      </c>
      <c r="Q52" s="5" t="s">
        <v>72</v>
      </c>
    </row>
    <row r="53" spans="1:17" hidden="1">
      <c r="A53" s="7" t="str">
        <f>HYPERLINK("https://www.analog.com/en/ADXL326#details", "ADXL326")</f>
        <v>ADXL326</v>
      </c>
      <c r="B53" s="5" t="s">
        <v>388</v>
      </c>
      <c r="C53" s="5" t="s">
        <v>79</v>
      </c>
      <c r="D53" s="5">
        <v>16</v>
      </c>
      <c r="E53" s="5">
        <v>3</v>
      </c>
      <c r="F53" s="5">
        <v>3.5E-4</v>
      </c>
      <c r="G53" s="5">
        <v>1.8</v>
      </c>
      <c r="H53" s="5">
        <v>3.6</v>
      </c>
      <c r="I53" s="5" t="s">
        <v>25</v>
      </c>
      <c r="J53" s="5" t="s">
        <v>280</v>
      </c>
      <c r="K53" s="5" t="s">
        <v>35</v>
      </c>
      <c r="L53" s="5">
        <v>2.8</v>
      </c>
      <c r="M53" s="5" t="s">
        <v>292</v>
      </c>
      <c r="N53" s="5">
        <v>16</v>
      </c>
      <c r="O53" s="5">
        <v>1.5</v>
      </c>
      <c r="P53" s="5">
        <v>790</v>
      </c>
      <c r="Q53" s="5" t="s">
        <v>72</v>
      </c>
    </row>
    <row r="54" spans="1:17" hidden="1">
      <c r="A54" s="7" t="str">
        <f>HYPERLINK("https://www.analog.com/en/ADXL327#details", "ADXL327")</f>
        <v>ADXL327</v>
      </c>
      <c r="B54" s="5" t="s">
        <v>410</v>
      </c>
      <c r="C54" s="5" t="s">
        <v>79</v>
      </c>
      <c r="D54" s="5">
        <v>2</v>
      </c>
      <c r="E54" s="5">
        <v>3</v>
      </c>
      <c r="F54" s="5">
        <v>3.5E-4</v>
      </c>
      <c r="G54" s="5">
        <v>1.8</v>
      </c>
      <c r="H54" s="5">
        <v>3.6</v>
      </c>
      <c r="I54" s="5" t="s">
        <v>25</v>
      </c>
      <c r="J54" s="5" t="s">
        <v>280</v>
      </c>
      <c r="K54" s="5" t="s">
        <v>35</v>
      </c>
      <c r="L54" s="5">
        <v>3.19</v>
      </c>
      <c r="M54" s="5" t="s">
        <v>292</v>
      </c>
      <c r="N54" s="5">
        <v>16</v>
      </c>
      <c r="O54" s="5">
        <v>1.5</v>
      </c>
      <c r="P54" s="5">
        <v>1966</v>
      </c>
      <c r="Q54" s="5" t="s">
        <v>72</v>
      </c>
    </row>
    <row r="55" spans="1:17" hidden="1">
      <c r="A55" s="7" t="str">
        <f>HYPERLINK("https://www.analog.com/en/ADXL345#details", "ADXL345")</f>
        <v>ADXL345</v>
      </c>
      <c r="B55" s="5" t="s">
        <v>401</v>
      </c>
      <c r="C55" s="5" t="s">
        <v>57</v>
      </c>
      <c r="D55" s="5" t="s">
        <v>402</v>
      </c>
      <c r="E55" s="5">
        <v>3</v>
      </c>
      <c r="F55" s="5">
        <v>1.3999999999999999E-4</v>
      </c>
      <c r="G55" s="5">
        <v>2</v>
      </c>
      <c r="H55" s="5">
        <v>3.6</v>
      </c>
      <c r="I55" s="5" t="s">
        <v>356</v>
      </c>
      <c r="J55" s="5" t="s">
        <v>286</v>
      </c>
      <c r="K55" s="5" t="s">
        <v>215</v>
      </c>
      <c r="L55" s="5">
        <v>2.96</v>
      </c>
      <c r="M55" s="5" t="s">
        <v>217</v>
      </c>
      <c r="N55" s="5">
        <v>15</v>
      </c>
      <c r="O55" s="5">
        <v>0.95</v>
      </c>
      <c r="P55" s="5">
        <v>34244</v>
      </c>
      <c r="Q55" s="5" t="s">
        <v>72</v>
      </c>
    </row>
    <row r="56" spans="1:17" hidden="1">
      <c r="A56" s="7" t="str">
        <f>HYPERLINK("https://www.analog.com/en/ADXL335#details", "ADXL335")</f>
        <v>ADXL335</v>
      </c>
      <c r="B56" s="5" t="s">
        <v>406</v>
      </c>
      <c r="C56" s="5" t="s">
        <v>79</v>
      </c>
      <c r="D56" s="5">
        <v>3</v>
      </c>
      <c r="E56" s="5">
        <v>3</v>
      </c>
      <c r="F56" s="5">
        <v>3.5E-4</v>
      </c>
      <c r="G56" s="5">
        <v>1.8</v>
      </c>
      <c r="H56" s="5">
        <v>3.6</v>
      </c>
      <c r="I56" s="5" t="s">
        <v>25</v>
      </c>
      <c r="J56" s="5" t="s">
        <v>280</v>
      </c>
      <c r="K56" s="5" t="s">
        <v>35</v>
      </c>
      <c r="L56" s="5">
        <v>3.31</v>
      </c>
      <c r="M56" s="5" t="s">
        <v>307</v>
      </c>
      <c r="N56" s="5">
        <v>16</v>
      </c>
      <c r="O56" s="5">
        <v>1.5</v>
      </c>
      <c r="P56" s="5">
        <v>878</v>
      </c>
      <c r="Q56" s="5" t="s">
        <v>72</v>
      </c>
    </row>
    <row r="57" spans="1:17" hidden="1">
      <c r="A57" s="7" t="str">
        <f>HYPERLINK("https://www.analog.com/en/ADXL180#details", "ADXL180")</f>
        <v>ADXL180</v>
      </c>
      <c r="B57" s="5" t="s">
        <v>411</v>
      </c>
      <c r="C57" s="5" t="s">
        <v>57</v>
      </c>
      <c r="D57" s="5">
        <v>500</v>
      </c>
      <c r="E57" s="5">
        <v>1</v>
      </c>
      <c r="F57" s="5">
        <v>7.7000000000000002E-3</v>
      </c>
      <c r="G57" s="5">
        <v>5</v>
      </c>
      <c r="H57" s="5">
        <v>14.5</v>
      </c>
      <c r="I57" s="5" t="s">
        <v>313</v>
      </c>
      <c r="J57" s="5" t="s">
        <v>47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>
        <v>0</v>
      </c>
      <c r="Q57" s="5" t="s">
        <v>229</v>
      </c>
    </row>
    <row r="58" spans="1:17" hidden="1">
      <c r="A58" s="7" t="str">
        <f>HYPERLINK("https://www.analog.com/en/ADIS16209#details", "ADIS16209")</f>
        <v>ADIS16209</v>
      </c>
      <c r="B58" s="5" t="s">
        <v>412</v>
      </c>
      <c r="C58" s="5" t="s">
        <v>57</v>
      </c>
      <c r="D58" s="5">
        <v>1.7</v>
      </c>
      <c r="E58" s="5">
        <v>2</v>
      </c>
      <c r="F58" s="5">
        <v>1.4E-2</v>
      </c>
      <c r="G58" s="5">
        <v>3</v>
      </c>
      <c r="H58" s="5">
        <v>3.6</v>
      </c>
      <c r="I58" s="5" t="s">
        <v>125</v>
      </c>
      <c r="J58" s="5" t="s">
        <v>47</v>
      </c>
      <c r="K58" s="5" t="s">
        <v>48</v>
      </c>
      <c r="L58" s="5">
        <v>70.48</v>
      </c>
      <c r="M58" s="5" t="s">
        <v>317</v>
      </c>
      <c r="N58" s="5">
        <v>87.422499999999999</v>
      </c>
      <c r="O58" s="5">
        <v>3.9</v>
      </c>
      <c r="P58" s="5">
        <v>8</v>
      </c>
      <c r="Q58" s="5" t="s">
        <v>40</v>
      </c>
    </row>
    <row r="59" spans="1:17" hidden="1">
      <c r="A59" s="7" t="str">
        <f>HYPERLINK("https://www.analog.com/en/ADXL203#details", "ADXL203")</f>
        <v>ADXL203</v>
      </c>
      <c r="B59" s="5" t="s">
        <v>413</v>
      </c>
      <c r="C59" s="5" t="s">
        <v>79</v>
      </c>
      <c r="D59" s="5">
        <v>1.7</v>
      </c>
      <c r="E59" s="5">
        <v>2</v>
      </c>
      <c r="F59" s="5">
        <v>6.9999999999999999E-4</v>
      </c>
      <c r="G59" s="5">
        <v>3</v>
      </c>
      <c r="H59" s="5">
        <v>6</v>
      </c>
      <c r="I59" s="5" t="s">
        <v>25</v>
      </c>
      <c r="J59" s="5" t="s">
        <v>25</v>
      </c>
      <c r="K59" s="5" t="s">
        <v>48</v>
      </c>
      <c r="L59" s="5">
        <v>19</v>
      </c>
      <c r="M59" s="5" t="s">
        <v>272</v>
      </c>
      <c r="N59" s="5">
        <v>26.586400000000001</v>
      </c>
      <c r="O59" s="5">
        <v>2.2098</v>
      </c>
      <c r="P59" s="5">
        <v>421</v>
      </c>
      <c r="Q59" s="5" t="s">
        <v>40</v>
      </c>
    </row>
    <row r="60" spans="1:17" hidden="1">
      <c r="A60" s="7" t="str">
        <f>HYPERLINK("https://www.analog.com/en/ADIS16003#details", "ADIS16003")</f>
        <v>ADIS16003</v>
      </c>
      <c r="B60" s="5" t="s">
        <v>325</v>
      </c>
      <c r="C60" s="5" t="s">
        <v>57</v>
      </c>
      <c r="D60" s="5">
        <v>1.7</v>
      </c>
      <c r="E60" s="5">
        <v>2</v>
      </c>
      <c r="F60" s="5">
        <v>1.4E-3</v>
      </c>
      <c r="G60" s="5">
        <v>3</v>
      </c>
      <c r="H60" s="5">
        <v>5.25</v>
      </c>
      <c r="I60" s="5" t="s">
        <v>125</v>
      </c>
      <c r="J60" s="5" t="s">
        <v>25</v>
      </c>
      <c r="K60" s="5" t="s">
        <v>48</v>
      </c>
      <c r="L60" s="5">
        <v>36.5</v>
      </c>
      <c r="M60" s="5" t="s">
        <v>328</v>
      </c>
      <c r="N60" s="5">
        <v>54.022500000000001</v>
      </c>
      <c r="O60" s="5">
        <v>3.7</v>
      </c>
      <c r="P60" s="5">
        <v>6</v>
      </c>
      <c r="Q60" s="5" t="s">
        <v>72</v>
      </c>
    </row>
    <row r="61" spans="1:17" hidden="1">
      <c r="A61" s="7" t="str">
        <f>HYPERLINK("https://www.analog.com/en/ADIS16006#details", "ADIS16006")</f>
        <v>ADIS16006</v>
      </c>
      <c r="B61" s="5" t="s">
        <v>331</v>
      </c>
      <c r="C61" s="5" t="s">
        <v>57</v>
      </c>
      <c r="D61" s="5">
        <v>5</v>
      </c>
      <c r="E61" s="5">
        <v>2</v>
      </c>
      <c r="F61" s="5">
        <v>1.4E-3</v>
      </c>
      <c r="G61" s="5">
        <v>3</v>
      </c>
      <c r="H61" s="5">
        <v>5.25</v>
      </c>
      <c r="I61" s="5" t="s">
        <v>125</v>
      </c>
      <c r="J61" s="5" t="s">
        <v>25</v>
      </c>
      <c r="K61" s="5" t="s">
        <v>48</v>
      </c>
      <c r="L61" s="5">
        <v>36.5</v>
      </c>
      <c r="M61" s="5" t="s">
        <v>328</v>
      </c>
      <c r="N61" s="5">
        <v>54.022500000000001</v>
      </c>
      <c r="O61" s="5">
        <v>3.7</v>
      </c>
      <c r="P61" s="5">
        <v>0</v>
      </c>
      <c r="Q61" s="5" t="s">
        <v>72</v>
      </c>
    </row>
    <row r="62" spans="1:17" hidden="1">
      <c r="A62" s="7" t="str">
        <f>HYPERLINK("https://www.analog.com/en/ADXL103#details", "ADXL103")</f>
        <v>ADXL103</v>
      </c>
      <c r="B62" s="5" t="s">
        <v>335</v>
      </c>
      <c r="C62" s="5" t="s">
        <v>79</v>
      </c>
      <c r="D62" s="5">
        <v>1.7</v>
      </c>
      <c r="E62" s="5">
        <v>1</v>
      </c>
      <c r="F62" s="5">
        <v>6.9999999999999999E-4</v>
      </c>
      <c r="G62" s="5">
        <v>3</v>
      </c>
      <c r="H62" s="5">
        <v>6</v>
      </c>
      <c r="I62" s="5" t="s">
        <v>25</v>
      </c>
      <c r="J62" s="5" t="s">
        <v>25</v>
      </c>
      <c r="K62" s="5" t="s">
        <v>48</v>
      </c>
      <c r="L62" s="5">
        <v>15.81</v>
      </c>
      <c r="M62" s="5" t="s">
        <v>272</v>
      </c>
      <c r="N62" s="5">
        <v>26.586400000000001</v>
      </c>
      <c r="O62" s="5">
        <v>2.2098</v>
      </c>
      <c r="P62" s="5">
        <v>3086</v>
      </c>
      <c r="Q62" s="5" t="s">
        <v>40</v>
      </c>
    </row>
    <row r="63" spans="1:17" hidden="1">
      <c r="A63" s="7" t="str">
        <f>HYPERLINK("https://www.analog.com/en/ADXL213#details", "ADXL213")</f>
        <v>ADXL213</v>
      </c>
      <c r="B63" s="5" t="s">
        <v>339</v>
      </c>
      <c r="C63" s="5" t="s">
        <v>57</v>
      </c>
      <c r="D63" s="5">
        <v>1.2</v>
      </c>
      <c r="E63" s="5">
        <v>2</v>
      </c>
      <c r="F63" s="5">
        <v>6.9999999999999999E-4</v>
      </c>
      <c r="G63" s="5">
        <v>3</v>
      </c>
      <c r="H63" s="5">
        <v>6</v>
      </c>
      <c r="I63" s="5" t="s">
        <v>25</v>
      </c>
      <c r="J63" s="5" t="s">
        <v>25</v>
      </c>
      <c r="K63" s="5" t="s">
        <v>35</v>
      </c>
      <c r="L63" s="5">
        <v>19</v>
      </c>
      <c r="M63" s="5" t="s">
        <v>272</v>
      </c>
      <c r="N63" s="5">
        <v>26.586400000000001</v>
      </c>
      <c r="O63" s="5">
        <v>2.2098</v>
      </c>
      <c r="P63" s="5">
        <v>340</v>
      </c>
      <c r="Q63" s="5" t="s">
        <v>40</v>
      </c>
    </row>
    <row r="64" spans="1:17" hidden="1">
      <c r="A64" s="7" t="str">
        <f>HYPERLINK("https://www.analog.com/en/ADIS16201#details", "ADIS16201")</f>
        <v>ADIS16201</v>
      </c>
      <c r="B64" s="5" t="s">
        <v>343</v>
      </c>
      <c r="C64" s="5" t="s">
        <v>57</v>
      </c>
      <c r="D64" s="5">
        <v>1.7</v>
      </c>
      <c r="E64" s="5">
        <v>2</v>
      </c>
      <c r="F64" s="5">
        <v>1.0999999999999999E-2</v>
      </c>
      <c r="G64" s="5">
        <v>3</v>
      </c>
      <c r="H64" s="5">
        <v>3.6</v>
      </c>
      <c r="I64" s="5" t="s">
        <v>125</v>
      </c>
      <c r="J64" s="5" t="s">
        <v>25</v>
      </c>
      <c r="K64" s="5" t="s">
        <v>48</v>
      </c>
      <c r="L64" s="5">
        <v>49.01</v>
      </c>
      <c r="M64" s="5" t="s">
        <v>317</v>
      </c>
      <c r="N64" s="5">
        <v>87.422499999999999</v>
      </c>
      <c r="O64" s="5">
        <v>3.9</v>
      </c>
      <c r="P64" s="5">
        <v>13</v>
      </c>
      <c r="Q64" s="5" t="s">
        <v>72</v>
      </c>
    </row>
    <row r="65" spans="1:17" hidden="1">
      <c r="A65" s="7" t="str">
        <f>HYPERLINK("https://www.analog.com/en/ADIS16203#details", "ADIS16203")</f>
        <v>ADIS16203</v>
      </c>
      <c r="B65" s="5" t="s">
        <v>348</v>
      </c>
      <c r="C65" s="5" t="s">
        <v>57</v>
      </c>
      <c r="D65" s="5" t="s">
        <v>25</v>
      </c>
      <c r="E65" s="5">
        <v>1</v>
      </c>
      <c r="F65" s="5">
        <v>1.0999999999999999E-2</v>
      </c>
      <c r="G65" s="5">
        <v>3</v>
      </c>
      <c r="H65" s="5">
        <v>3.6</v>
      </c>
      <c r="I65" s="5" t="s">
        <v>125</v>
      </c>
      <c r="J65" s="5" t="s">
        <v>25</v>
      </c>
      <c r="K65" s="5" t="s">
        <v>48</v>
      </c>
      <c r="L65" s="5">
        <v>49.01</v>
      </c>
      <c r="M65" s="5" t="s">
        <v>317</v>
      </c>
      <c r="N65" s="5">
        <v>87.422499999999999</v>
      </c>
      <c r="O65" s="5">
        <v>3.9</v>
      </c>
      <c r="P65" s="5">
        <v>36</v>
      </c>
      <c r="Q65" s="5" t="s">
        <v>72</v>
      </c>
    </row>
    <row r="66" spans="1:17" hidden="1">
      <c r="A66" s="7" t="str">
        <f>HYPERLINK("https://www.analog.com/en/ADXL152#details", "ADXL152")</f>
        <v>ADXL152</v>
      </c>
      <c r="B66" s="5" t="s">
        <v>414</v>
      </c>
      <c r="C66" s="5" t="s">
        <v>57</v>
      </c>
      <c r="D66" s="5" t="s">
        <v>387</v>
      </c>
      <c r="E66" s="5">
        <v>1</v>
      </c>
      <c r="F66" s="5">
        <v>5.0000000000000001E-3</v>
      </c>
      <c r="G66" s="5" t="s">
        <v>25</v>
      </c>
      <c r="H66" s="5" t="s">
        <v>25</v>
      </c>
      <c r="I66" s="5" t="s">
        <v>189</v>
      </c>
      <c r="J66" s="5" t="s">
        <v>25</v>
      </c>
      <c r="K66" s="5" t="s">
        <v>25</v>
      </c>
      <c r="L66" s="5" t="s">
        <v>25</v>
      </c>
      <c r="M66" s="5" t="s">
        <v>25</v>
      </c>
      <c r="N66" s="5">
        <v>1.45</v>
      </c>
      <c r="O66" s="5">
        <v>16</v>
      </c>
      <c r="P66" s="5">
        <v>0</v>
      </c>
      <c r="Q66" s="5" t="s">
        <v>192</v>
      </c>
    </row>
  </sheetData>
  <autoFilter ref="A1:Q66" xr:uid="{00000000-0001-0000-0200-000000000000}">
    <filterColumn colId="0">
      <filters>
        <filter val="ADXL350"/>
        <filter val="ADXL354"/>
        <filter val="ADXL355"/>
        <filter val="ADXL356"/>
        <filter val="ADXL357"/>
        <filter val="ADXL357B"/>
        <filter val="ADXL358"/>
        <filter val="ADXL359"/>
      </filters>
    </filterColumn>
    <filterColumn colId="4">
      <filters>
        <filter val="3"/>
      </filters>
    </filterColumn>
    <filterColumn colId="16">
      <filters>
        <filter val="Recommended for New Desig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Web Display</vt:lpstr>
      <vt:lpstr>Raw Data Display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baosheng wang</cp:lastModifiedBy>
  <dcterms:modified xsi:type="dcterms:W3CDTF">2026-01-27T08:22:49Z</dcterms:modified>
</cp:coreProperties>
</file>