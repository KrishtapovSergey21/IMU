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Temp\"/>
    </mc:Choice>
  </mc:AlternateContent>
  <xr:revisionPtr revIDLastSave="0" documentId="13_ncr:1_{045F84B7-2CF5-4CDC-9565-72692396B1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Web Display" sheetId="2" r:id="rId2"/>
    <sheet name="Raw Data Display" sheetId="3" r:id="rId3"/>
  </sheets>
  <definedNames>
    <definedName name="_xlnm._FilterDatabase" localSheetId="2" hidden="1">'Raw Data Display'!$A$1:$O$23</definedName>
  </definedNames>
  <calcPr calcId="191029"/>
</workbook>
</file>

<file path=xl/calcChain.xml><?xml version="1.0" encoding="utf-8"?>
<calcChain xmlns="http://schemas.openxmlformats.org/spreadsheetml/2006/main">
  <c r="A23" i="3" l="1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<sst xmlns="http://schemas.openxmlformats.org/spreadsheetml/2006/main" count="438" uniqueCount="134">
  <si>
    <t>Date Created</t>
  </si>
  <si>
    <t>1/27/2026, 3:47:59 PM</t>
  </si>
  <si>
    <t>Product Type</t>
  </si>
  <si>
    <t>Gyroscopes</t>
  </si>
  <si>
    <t>Web Link</t>
  </si>
  <si>
    <t>https://www.analog.com/en/parametricsearch/2476#/</t>
  </si>
  <si>
    <t>Filter Conditions</t>
  </si>
  <si>
    <t>(None)</t>
  </si>
  <si>
    <t>Part Number</t>
  </si>
  <si>
    <t>Description</t>
  </si>
  <si>
    <t>Output Signal Type</t>
  </si>
  <si>
    <t>Number of Axes</t>
  </si>
  <si>
    <t>Full Scale Range</t>
  </si>
  <si>
    <t>Positive Supply Voltage min</t>
  </si>
  <si>
    <t>Positive Supply Voltage max</t>
  </si>
  <si>
    <t>Features</t>
  </si>
  <si>
    <t>Temperature Range</t>
  </si>
  <si>
    <t>1ku List Price</t>
  </si>
  <si>
    <t>Package</t>
  </si>
  <si>
    <t>Package Area</t>
  </si>
  <si>
    <t>Package Height</t>
  </si>
  <si>
    <t>Availability</t>
  </si>
  <si>
    <t>Lifecycle</t>
  </si>
  <si>
    <t/>
  </si>
  <si>
    <t>°/sec</t>
  </si>
  <si>
    <t>V</t>
  </si>
  <si>
    <t>$ US; ¥ RMB</t>
  </si>
  <si>
    <t>mm²</t>
  </si>
  <si>
    <t>mm</t>
  </si>
  <si>
    <t>Rollover Detection In-Plane Gyroscope</t>
  </si>
  <si>
    <t>Digital Signal</t>
  </si>
  <si>
    <t>3.3 V</t>
  </si>
  <si>
    <t>5 V</t>
  </si>
  <si>
    <t>In Plane Direction of Sensing</t>
  </si>
  <si>
    <t>-40 to 105°C</t>
  </si>
  <si>
    <t>16-Lead SOIC_CAV (10.30mm x 10.42mm x 3.58mm)</t>
  </si>
  <si>
    <t>107.326mm² (16-Lead SOIC_CAV (10.30mm x 10.42mm x 3.58mm)) (ADXRS910AWBRGZ-RL)</t>
  </si>
  <si>
    <t>3.58mm (16-Lead SOIC_CAV (10.30mm x 10.42mm x 3.58mm)) (ADXRS910AWBRGZ-RL)</t>
  </si>
  <si>
    <t>Production</t>
  </si>
  <si>
    <t>Ultralow noise, dual-axis MEMS Gyroscope for Stabilization Applications</t>
  </si>
  <si>
    <t>2.7 V</t>
  </si>
  <si>
    <t>MEMS</t>
  </si>
  <si>
    <t>-25 to 85°C</t>
  </si>
  <si>
    <t>$11.65 (ADXRS290BCEZ)</t>
  </si>
  <si>
    <t>18-Lead LGA_CAV (4.5mm x 5.8mm)</t>
  </si>
  <si>
    <t>26.1mm² (18-Lead LGA_CAV (4.5mm x 5.8mm)) (ADXRS290BCEZ)</t>
  </si>
  <si>
    <t>1.2mm (18-Lead LGA_CAV (4.5mm x 5.8mm)) (ADXRS290BCEZ)</t>
  </si>
  <si>
    <t>Recommended for New Designs</t>
  </si>
  <si>
    <t>High Temperature, Vibration Rejecting ±2000°/sec Gyroscope</t>
  </si>
  <si>
    <t>4.75 V</t>
  </si>
  <si>
    <t>5.25 V</t>
  </si>
  <si>
    <t>-40 to 175°C</t>
  </si>
  <si>
    <t>$1207.98 (ADXRS645HDYZ)</t>
  </si>
  <si>
    <t>15-Lead Ceramic DIP Vertical Form</t>
  </si>
  <si>
    <t>72mm² (15-Lead Ceramic DIP Vertical Form) (ADXRS645HDYZ)</t>
  </si>
  <si>
    <t>2.85mm (15-Lead Ceramic DIP Vertical Form) (ADXRS645HDYZ)</t>
  </si>
  <si>
    <t>±1000°/Sec Precision Angular Rate Sensor</t>
  </si>
  <si>
    <t>$1752.13 (ADIS16137BMLZ)</t>
  </si>
  <si>
    <t>24-Lead Module (35.6mm x 44mm x 13.8mm)</t>
  </si>
  <si>
    <t>Not Recommended for New Designs</t>
  </si>
  <si>
    <t>High Performance, SPI Digital Output, Angular Rate Sensor</t>
  </si>
  <si>
    <t>3.15 V</t>
  </si>
  <si>
    <t>±450°/Sec Precision Angular Rate Sensor</t>
  </si>
  <si>
    <t>-40 to 85°C</t>
  </si>
  <si>
    <t>$1452.42 (ADIS16136AMLZ)</t>
  </si>
  <si>
    <t>3 V</t>
  </si>
  <si>
    <t>Vibration Rejecting ±250°/s Yaw Rate Gyroscope</t>
  </si>
  <si>
    <t>$49.26 (ADXRS642BBGZ)</t>
  </si>
  <si>
    <t>32-Ball Ceramic BGA (6.85mm x 6.85mm x 3.8mm)</t>
  </si>
  <si>
    <t>49.7025mm² (32-Ball Ceramic BGA (6.85mm x 6.85mm x 3.8mm)) (ADXRS642BBGZ)</t>
  </si>
  <si>
    <t>3.2mm (32-Ball Ceramic BGA (6.85mm x 6.85mm x 3.8mm)) (ADXRS642BBGZ)</t>
  </si>
  <si>
    <t>High Stability, Low Noise Vibration Rejecting Yaw Rate Gyroscope</t>
  </si>
  <si>
    <t>5.75 V</t>
  </si>
  <si>
    <t>6.25 V</t>
  </si>
  <si>
    <t>-55 to 105°C</t>
  </si>
  <si>
    <t>$72.76 (ADXRS646BBGZ)</t>
  </si>
  <si>
    <t>49.7025mm² (32-Ball Ceramic BGA (6.85mm x 6.85mm x 3.8mm)) (ADXRS646BBGZ)</t>
  </si>
  <si>
    <t>3.2mm (32-Ball Ceramic BGA (6.85mm x 6.85mm x 3.8mm)) (ADXRS646BBGZ)</t>
  </si>
  <si>
    <t>Fast Starting, ±20, 000°/sec Vibration Rejecting Rate Gyro</t>
  </si>
  <si>
    <t>$68.96 (ADXRS649BBGZ)</t>
  </si>
  <si>
    <t>49.7025mm² (32-Ball Ceramic BGA (6.85mm x 6.85mm x 3.8mm)) (ADXRS649BBGZ)</t>
  </si>
  <si>
    <t>3.2mm (32-Ball Ceramic BGA (6.85mm x 6.85mm x 3.8mm)) (ADXRS649BBGZ)</t>
  </si>
  <si>
    <t>High Performance, Digital Output Gyroscope</t>
  </si>
  <si>
    <t>$61.94 (ADXRS453BRGZ)</t>
  </si>
  <si>
    <t>16-Lead SOIC_CAV</t>
  </si>
  <si>
    <t>80.34mm² (16-Lead SOIC_CAV) (ADXRS453BRGZ)</t>
  </si>
  <si>
    <t>3.58mm (16-Lead SOIC_CAV) (ADXRS453BRGZ)</t>
  </si>
  <si>
    <t>±300°/sec High Vibration Immunity Digital Gyro</t>
  </si>
  <si>
    <t>$42.99 (ADXRS450BRGZ)</t>
  </si>
  <si>
    <t>80.34mm² (16-Lead SOIC_CAV) (ADXRS450BRGZ)</t>
  </si>
  <si>
    <t>3.58mm (16-Lead SOIC_CAV) (ADXRS450BRGZ)</t>
  </si>
  <si>
    <t>±300°/Sec Precision Angular Rate Sensor</t>
  </si>
  <si>
    <t>4.85 V</t>
  </si>
  <si>
    <t>$1269.29 (ADIS16135BMLZ)</t>
  </si>
  <si>
    <t>±150°/sec Yaw Rate Gyroscope</t>
  </si>
  <si>
    <t>$34.98 (ADXRS623BBGZ)</t>
  </si>
  <si>
    <t>49.7025mm² (32-Ball Ceramic BGA (6.85mm x 6.85mm x 3.8mm)) (ADXRS623BBGZ)</t>
  </si>
  <si>
    <t>3.2mm (32-Ball Ceramic BGA (6.85mm x 6.85mm x 3.8mm)) (ADXRS623BBGZ)</t>
  </si>
  <si>
    <t>±50°/s Yaw Rate Gyro</t>
  </si>
  <si>
    <t>$34.98 (ADXRS624BBGZ)</t>
  </si>
  <si>
    <t>49.7025mm² (32-Ball Ceramic BGA (6.85mm x 6.85mm x 3.8mm)) (ADXRS624BBGZ)</t>
  </si>
  <si>
    <t>3.2mm (32-Ball Ceramic BGA (6.85mm x 6.85mm x 3.8mm)) (ADXRS624BBGZ)</t>
  </si>
  <si>
    <t>±300°/sec Yaw Rate Gyro</t>
  </si>
  <si>
    <t>$36.03 (ADXRS620BBGZ)</t>
  </si>
  <si>
    <t>49.7025mm² (32-Ball Ceramic BGA (6.85mm x 6.85mm x 3.8mm)) (ADXRS620BBGZ)</t>
  </si>
  <si>
    <t>3.2mm (32-Ball Ceramic BGA (6.85mm x 6.85mm x 3.8mm)) (ADXRS620BBGZ)</t>
  </si>
  <si>
    <t>±250°/sec Yaw Rate Gyro</t>
  </si>
  <si>
    <t>$27.85 (ADXRS652BBGZ)</t>
  </si>
  <si>
    <t>49.7025mm² (32-Ball Ceramic BGA (6.85mm x 6.85mm x 3.8mm)) (ADXRS652BBGZ)</t>
  </si>
  <si>
    <t>3.2mm (32-Ball Ceramic BGA (6.85mm x 6.85mm x 3.8mm)) (ADXRS652BBGZ)</t>
  </si>
  <si>
    <t>Programmable Low Power Gyroscope</t>
  </si>
  <si>
    <t>$76.38 (ADIS16260BCCZ)</t>
  </si>
  <si>
    <t>20-Lead LGA (11.15mm x 11mm)</t>
  </si>
  <si>
    <t>124.3225mm² (20-Lead LGA (11.15mm x 11mm)) (ADIS16260BCCZ)</t>
  </si>
  <si>
    <t>5.5mm (20-Lead LGA (11.15mm x 11mm)) (ADIS16260BCCZ)</t>
  </si>
  <si>
    <t>Programmable Digital Gyroscope Sensor</t>
  </si>
  <si>
    <t>$126.51 (ADIS16265BCCZ)</t>
  </si>
  <si>
    <t>124.3225mm² (20-Lead LGA (11.15mm x 11mm)) (ADIS16265BCCZ)</t>
  </si>
  <si>
    <t>5.5mm (20-Lead LGA (11.15mm x 11mm)) (ADIS16265BCCZ)</t>
  </si>
  <si>
    <t>±250°/sec Yaw Rate Gyroscope</t>
  </si>
  <si>
    <t>$36.03 (ADXRS622BBGZ)</t>
  </si>
  <si>
    <t>49.7025mm² (32-Ball Ceramic BGA (6.85mm x 6.85mm x 3.8mm)) (ADXRS622BBGZ)</t>
  </si>
  <si>
    <t>3.2mm (32-Ball Ceramic BGA (6.85mm x 6.85mm x 3.8mm)) (ADXRS622BBGZ)</t>
  </si>
  <si>
    <t>Wide Bandwidth Yaw Rate Gyroscope with SPI</t>
  </si>
  <si>
    <t>$220.5 (ADIS16060BCCZ)</t>
  </si>
  <si>
    <t>16-Lead LGA (8.35mm x 8.2mm)</t>
  </si>
  <si>
    <t>69.7225mm² (16-Lead LGA (8.35mm x 8.2mm)) (ADIS16060BCCZ)</t>
  </si>
  <si>
    <t>5.2mm (16-Lead LGA (8.35mm x 8.2mm)) (ADIS16060BCCZ)</t>
  </si>
  <si>
    <t>Ultralow noise dual-axis MEMS Gyroscope for Stabilization Applications</t>
  </si>
  <si>
    <t>High Temperature Vibration Rejecting ±2000°/sec Gyroscope</t>
  </si>
  <si>
    <t>High Performance SPI Digital Output Angular Rate Sensor</t>
  </si>
  <si>
    <t>High Stability Low Noise Vibration Rejecting Yaw Rate Gyroscope</t>
  </si>
  <si>
    <t>Fast Starting ±20 000°/sec Vibration Rejecting Rate Gyro</t>
  </si>
  <si>
    <t>High Performance Digital Output Gyroscope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</si>
</sst>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2" fillId="0" borderId="0" xfId="0" applyFont="1"/>
    <xf numFmtId="0" fontId="0" fillId="0" borderId="1" xfId="0" applyBorder="1"/>
    <xf numFmtId="0" fontId="0" fillId="6" borderId="1" xfId="0" applyFill="1" applyBorder="1" applyAlignment="1">
      <alignment horizontal="center"/>
    </xf>
    <xf numFmtId="0" fontId="3" fillId="0" borderId="1" xfId="0" applyFont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/>
  <cols>
    <col min="1" max="1" width="20" customWidth="1"/>
    <col min="2" max="2" width="25" customWidth="1"/>
    <col min="3" max="3" width="20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workbookViewId="0"/>
  </sheetViews>
  <sheetFormatPr defaultRowHeight="14.4"/>
  <cols>
    <col min="1" max="2" width="15" customWidth="1"/>
    <col min="3" max="3" width="22" customWidth="1"/>
    <col min="4" max="4" width="17" customWidth="1"/>
    <col min="5" max="5" width="19" customWidth="1"/>
    <col min="6" max="7" width="32" customWidth="1"/>
    <col min="8" max="8" width="15" customWidth="1"/>
    <col min="9" max="9" width="20" customWidth="1"/>
    <col min="10" max="10" width="17" customWidth="1"/>
    <col min="11" max="12" width="15" customWidth="1"/>
    <col min="13" max="13" width="17" customWidth="1"/>
    <col min="14" max="15" width="15" customWidth="1"/>
  </cols>
  <sheetData>
    <row r="1" spans="1:1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>
      <c r="A2" s="3" t="s">
        <v>23</v>
      </c>
      <c r="B2" s="3" t="s">
        <v>23</v>
      </c>
      <c r="C2" s="3" t="s">
        <v>23</v>
      </c>
      <c r="D2" s="3" t="s">
        <v>23</v>
      </c>
      <c r="E2" s="3" t="s">
        <v>24</v>
      </c>
      <c r="F2" s="3" t="s">
        <v>25</v>
      </c>
      <c r="G2" s="3" t="s">
        <v>25</v>
      </c>
      <c r="H2" s="3" t="s">
        <v>23</v>
      </c>
      <c r="I2" s="3" t="s">
        <v>23</v>
      </c>
      <c r="J2" s="3" t="s">
        <v>26</v>
      </c>
      <c r="K2" s="3" t="s">
        <v>23</v>
      </c>
      <c r="L2" s="3" t="s">
        <v>27</v>
      </c>
      <c r="M2" s="3" t="s">
        <v>28</v>
      </c>
      <c r="N2" s="3" t="s">
        <v>23</v>
      </c>
      <c r="O2" s="3" t="s">
        <v>23</v>
      </c>
    </row>
    <row r="3" spans="1:15">
      <c r="A3" s="4" t="str">
        <f>HYPERLINK("https://www.analog.com/en/ADXRS910#details", "ADXRS910")</f>
        <v>ADXRS910</v>
      </c>
      <c r="B3" t="s">
        <v>29</v>
      </c>
      <c r="C3" t="s">
        <v>30</v>
      </c>
      <c r="D3">
        <v>1</v>
      </c>
      <c r="E3">
        <v>300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>
        <v>0</v>
      </c>
      <c r="O3" t="s">
        <v>38</v>
      </c>
    </row>
    <row r="4" spans="1:15">
      <c r="A4" s="4" t="str">
        <f>HYPERLINK("https://www.analog.com/en/ADXRS290#details", "ADXRS290")</f>
        <v>ADXRS290</v>
      </c>
      <c r="B4" t="s">
        <v>39</v>
      </c>
      <c r="C4" t="s">
        <v>30</v>
      </c>
      <c r="D4">
        <v>2</v>
      </c>
      <c r="E4">
        <v>100</v>
      </c>
      <c r="F4" t="s">
        <v>40</v>
      </c>
      <c r="G4" t="s">
        <v>32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>
        <v>3487</v>
      </c>
      <c r="O4" t="s">
        <v>47</v>
      </c>
    </row>
    <row r="5" spans="1:15">
      <c r="A5" s="4" t="str">
        <f>HYPERLINK("https://www.analog.com/en/ADXRS645#details", "ADXRS645")</f>
        <v>ADXRS645</v>
      </c>
      <c r="B5" t="s">
        <v>48</v>
      </c>
      <c r="C5" t="s">
        <v>30</v>
      </c>
      <c r="D5">
        <v>1</v>
      </c>
      <c r="E5">
        <v>2000</v>
      </c>
      <c r="F5" t="s">
        <v>49</v>
      </c>
      <c r="G5" t="s">
        <v>50</v>
      </c>
      <c r="H5" t="s">
        <v>23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>
        <v>0</v>
      </c>
      <c r="O5" t="s">
        <v>47</v>
      </c>
    </row>
    <row r="6" spans="1:15">
      <c r="A6" s="4" t="str">
        <f>HYPERLINK("https://www.analog.com/en/ADIS16137#details", "ADIS16137")</f>
        <v>ADIS16137</v>
      </c>
      <c r="B6" t="s">
        <v>56</v>
      </c>
      <c r="C6" t="s">
        <v>30</v>
      </c>
      <c r="D6">
        <v>1</v>
      </c>
      <c r="E6">
        <v>1000</v>
      </c>
      <c r="F6" t="s">
        <v>49</v>
      </c>
      <c r="G6" t="s">
        <v>50</v>
      </c>
      <c r="H6" t="s">
        <v>41</v>
      </c>
      <c r="I6" t="s">
        <v>34</v>
      </c>
      <c r="J6" t="s">
        <v>57</v>
      </c>
      <c r="K6" t="s">
        <v>58</v>
      </c>
      <c r="L6" t="s">
        <v>23</v>
      </c>
      <c r="M6" t="s">
        <v>23</v>
      </c>
      <c r="N6">
        <v>10</v>
      </c>
      <c r="O6" t="s">
        <v>59</v>
      </c>
    </row>
    <row r="7" spans="1:15">
      <c r="A7" s="4" t="str">
        <f>HYPERLINK("https://www.analog.com/en/ADXRS810#details", "ADXRS810")</f>
        <v>ADXRS810</v>
      </c>
      <c r="B7" t="s">
        <v>60</v>
      </c>
      <c r="C7" t="s">
        <v>30</v>
      </c>
      <c r="D7">
        <v>1</v>
      </c>
      <c r="E7">
        <v>300</v>
      </c>
      <c r="F7" t="s">
        <v>61</v>
      </c>
      <c r="G7" t="s">
        <v>50</v>
      </c>
      <c r="H7" t="s">
        <v>41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>
        <v>0</v>
      </c>
      <c r="O7" t="s">
        <v>59</v>
      </c>
    </row>
    <row r="8" spans="1:15">
      <c r="A8" s="4" t="str">
        <f>HYPERLINK("https://www.analog.com/en/ADIS16136#details", "ADIS16136")</f>
        <v>ADIS16136</v>
      </c>
      <c r="B8" t="s">
        <v>62</v>
      </c>
      <c r="C8" t="s">
        <v>30</v>
      </c>
      <c r="D8">
        <v>1</v>
      </c>
      <c r="E8">
        <v>450</v>
      </c>
      <c r="F8" t="s">
        <v>49</v>
      </c>
      <c r="G8" t="s">
        <v>50</v>
      </c>
      <c r="H8" t="s">
        <v>41</v>
      </c>
      <c r="I8" t="s">
        <v>63</v>
      </c>
      <c r="J8" t="s">
        <v>64</v>
      </c>
      <c r="K8" t="s">
        <v>58</v>
      </c>
      <c r="L8" t="s">
        <v>23</v>
      </c>
      <c r="M8" t="s">
        <v>23</v>
      </c>
      <c r="N8">
        <v>46</v>
      </c>
      <c r="O8" t="s">
        <v>59</v>
      </c>
    </row>
    <row r="9" spans="1:15">
      <c r="A9" s="4" t="str">
        <f>HYPERLINK("https://www.analog.com/en/ADXRS800#details", "ADXRS800")</f>
        <v>ADXRS800</v>
      </c>
      <c r="B9" t="s">
        <v>60</v>
      </c>
      <c r="C9" t="s">
        <v>30</v>
      </c>
      <c r="D9">
        <v>1</v>
      </c>
      <c r="E9">
        <v>300</v>
      </c>
      <c r="F9" t="s">
        <v>65</v>
      </c>
      <c r="G9" t="s">
        <v>32</v>
      </c>
      <c r="H9" t="s">
        <v>41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>
        <v>0</v>
      </c>
      <c r="O9" t="s">
        <v>59</v>
      </c>
    </row>
    <row r="10" spans="1:15">
      <c r="A10" s="4" t="str">
        <f>HYPERLINK("https://www.analog.com/en/ADXRS642#details", "ADXRS642")</f>
        <v>ADXRS642</v>
      </c>
      <c r="B10" t="s">
        <v>66</v>
      </c>
      <c r="C10" t="s">
        <v>30</v>
      </c>
      <c r="D10">
        <v>1</v>
      </c>
      <c r="E10">
        <v>300</v>
      </c>
      <c r="F10" t="s">
        <v>49</v>
      </c>
      <c r="G10" t="s">
        <v>50</v>
      </c>
      <c r="H10" t="s">
        <v>23</v>
      </c>
      <c r="I10" t="s">
        <v>34</v>
      </c>
      <c r="J10" t="s">
        <v>67</v>
      </c>
      <c r="K10" t="s">
        <v>68</v>
      </c>
      <c r="L10" t="s">
        <v>69</v>
      </c>
      <c r="M10" t="s">
        <v>70</v>
      </c>
      <c r="N10">
        <v>0</v>
      </c>
      <c r="O10" t="s">
        <v>47</v>
      </c>
    </row>
    <row r="11" spans="1:15">
      <c r="A11" s="4" t="str">
        <f>HYPERLINK("https://www.analog.com/en/ADXRS646#details", "ADXRS646")</f>
        <v>ADXRS646</v>
      </c>
      <c r="B11" t="s">
        <v>71</v>
      </c>
      <c r="C11" t="s">
        <v>23</v>
      </c>
      <c r="D11">
        <v>1</v>
      </c>
      <c r="E11">
        <v>300</v>
      </c>
      <c r="F11" t="s">
        <v>72</v>
      </c>
      <c r="G11" t="s">
        <v>73</v>
      </c>
      <c r="H11" t="s">
        <v>23</v>
      </c>
      <c r="I11" t="s">
        <v>74</v>
      </c>
      <c r="J11" t="s">
        <v>75</v>
      </c>
      <c r="K11" t="s">
        <v>68</v>
      </c>
      <c r="L11" t="s">
        <v>76</v>
      </c>
      <c r="M11" t="s">
        <v>77</v>
      </c>
      <c r="N11">
        <v>62</v>
      </c>
      <c r="O11" t="s">
        <v>38</v>
      </c>
    </row>
    <row r="12" spans="1:15">
      <c r="A12" s="4" t="str">
        <f>HYPERLINK("https://www.analog.com/en/ADXRS649#details", "ADXRS649")</f>
        <v>ADXRS649</v>
      </c>
      <c r="B12" t="s">
        <v>78</v>
      </c>
      <c r="C12" t="s">
        <v>30</v>
      </c>
      <c r="D12">
        <v>1</v>
      </c>
      <c r="E12">
        <v>20000</v>
      </c>
      <c r="F12" t="s">
        <v>49</v>
      </c>
      <c r="G12" t="s">
        <v>50</v>
      </c>
      <c r="H12" t="s">
        <v>23</v>
      </c>
      <c r="I12" t="s">
        <v>34</v>
      </c>
      <c r="J12" t="s">
        <v>79</v>
      </c>
      <c r="K12" t="s">
        <v>68</v>
      </c>
      <c r="L12" t="s">
        <v>80</v>
      </c>
      <c r="M12" t="s">
        <v>81</v>
      </c>
      <c r="N12">
        <v>0</v>
      </c>
      <c r="O12" t="s">
        <v>47</v>
      </c>
    </row>
    <row r="13" spans="1:15">
      <c r="A13" s="4" t="str">
        <f>HYPERLINK("https://www.analog.com/en/ADXRS453#details", "ADXRS453")</f>
        <v>ADXRS453</v>
      </c>
      <c r="B13" t="s">
        <v>82</v>
      </c>
      <c r="C13" t="s">
        <v>30</v>
      </c>
      <c r="D13">
        <v>1</v>
      </c>
      <c r="E13">
        <v>400</v>
      </c>
      <c r="F13" t="s">
        <v>61</v>
      </c>
      <c r="G13" t="s">
        <v>50</v>
      </c>
      <c r="H13" t="s">
        <v>41</v>
      </c>
      <c r="I13" t="s">
        <v>34</v>
      </c>
      <c r="J13" t="s">
        <v>83</v>
      </c>
      <c r="K13" t="s">
        <v>84</v>
      </c>
      <c r="L13" t="s">
        <v>85</v>
      </c>
      <c r="M13" t="s">
        <v>86</v>
      </c>
      <c r="N13">
        <v>4000</v>
      </c>
      <c r="O13" t="s">
        <v>47</v>
      </c>
    </row>
    <row r="14" spans="1:15">
      <c r="A14" s="4" t="str">
        <f>HYPERLINK("https://www.analog.com/en/ADXRS450#details", "ADXRS450")</f>
        <v>ADXRS450</v>
      </c>
      <c r="B14" t="s">
        <v>87</v>
      </c>
      <c r="C14" t="s">
        <v>30</v>
      </c>
      <c r="D14">
        <v>1</v>
      </c>
      <c r="E14">
        <v>400</v>
      </c>
      <c r="F14" t="s">
        <v>61</v>
      </c>
      <c r="G14" t="s">
        <v>50</v>
      </c>
      <c r="H14" t="s">
        <v>41</v>
      </c>
      <c r="I14" t="s">
        <v>34</v>
      </c>
      <c r="J14" t="s">
        <v>88</v>
      </c>
      <c r="K14" t="s">
        <v>84</v>
      </c>
      <c r="L14" t="s">
        <v>89</v>
      </c>
      <c r="M14" t="s">
        <v>90</v>
      </c>
      <c r="N14">
        <v>5950</v>
      </c>
      <c r="O14" t="s">
        <v>47</v>
      </c>
    </row>
    <row r="15" spans="1:15">
      <c r="A15" s="4" t="str">
        <f>HYPERLINK("https://www.analog.com/en/ADIS16135#details", "ADIS16135")</f>
        <v>ADIS16135</v>
      </c>
      <c r="B15" t="s">
        <v>91</v>
      </c>
      <c r="C15" t="s">
        <v>30</v>
      </c>
      <c r="D15">
        <v>1</v>
      </c>
      <c r="E15">
        <v>350</v>
      </c>
      <c r="F15" t="s">
        <v>92</v>
      </c>
      <c r="G15" t="s">
        <v>50</v>
      </c>
      <c r="H15" t="s">
        <v>41</v>
      </c>
      <c r="I15" t="s">
        <v>34</v>
      </c>
      <c r="J15" t="s">
        <v>93</v>
      </c>
      <c r="K15" t="s">
        <v>58</v>
      </c>
      <c r="L15" t="s">
        <v>23</v>
      </c>
      <c r="M15" t="s">
        <v>23</v>
      </c>
      <c r="N15">
        <v>4108</v>
      </c>
      <c r="O15" t="s">
        <v>47</v>
      </c>
    </row>
    <row r="16" spans="1:15">
      <c r="A16" s="4" t="str">
        <f>HYPERLINK("https://www.analog.com/en/ADXRS623#details", "ADXRS623")</f>
        <v>ADXRS623</v>
      </c>
      <c r="B16" t="s">
        <v>94</v>
      </c>
      <c r="C16" t="s">
        <v>30</v>
      </c>
      <c r="D16">
        <v>1</v>
      </c>
      <c r="E16">
        <v>150</v>
      </c>
      <c r="F16" t="s">
        <v>49</v>
      </c>
      <c r="G16" t="s">
        <v>50</v>
      </c>
      <c r="H16" t="s">
        <v>23</v>
      </c>
      <c r="I16" t="s">
        <v>34</v>
      </c>
      <c r="J16" t="s">
        <v>95</v>
      </c>
      <c r="K16" t="s">
        <v>68</v>
      </c>
      <c r="L16" t="s">
        <v>96</v>
      </c>
      <c r="M16" t="s">
        <v>97</v>
      </c>
      <c r="N16">
        <v>0</v>
      </c>
      <c r="O16" t="s">
        <v>38</v>
      </c>
    </row>
    <row r="17" spans="1:15">
      <c r="A17" s="4" t="str">
        <f>HYPERLINK("https://www.analog.com/en/ADXRS624#details", "ADXRS624")</f>
        <v>ADXRS624</v>
      </c>
      <c r="B17" t="s">
        <v>98</v>
      </c>
      <c r="C17" t="s">
        <v>30</v>
      </c>
      <c r="D17">
        <v>1</v>
      </c>
      <c r="E17">
        <v>75</v>
      </c>
      <c r="F17" t="s">
        <v>49</v>
      </c>
      <c r="G17" t="s">
        <v>50</v>
      </c>
      <c r="H17" t="s">
        <v>23</v>
      </c>
      <c r="I17" t="s">
        <v>34</v>
      </c>
      <c r="J17" t="s">
        <v>99</v>
      </c>
      <c r="K17" t="s">
        <v>68</v>
      </c>
      <c r="L17" t="s">
        <v>100</v>
      </c>
      <c r="M17" t="s">
        <v>101</v>
      </c>
      <c r="N17">
        <v>0</v>
      </c>
      <c r="O17" t="s">
        <v>38</v>
      </c>
    </row>
    <row r="18" spans="1:15">
      <c r="A18" s="4" t="str">
        <f>HYPERLINK("https://www.analog.com/en/ADXRS620#details", "ADXRS620")</f>
        <v>ADXRS620</v>
      </c>
      <c r="B18" t="s">
        <v>102</v>
      </c>
      <c r="C18" t="s">
        <v>30</v>
      </c>
      <c r="D18">
        <v>1</v>
      </c>
      <c r="E18">
        <v>300</v>
      </c>
      <c r="F18" t="s">
        <v>49</v>
      </c>
      <c r="G18" t="s">
        <v>50</v>
      </c>
      <c r="H18" t="s">
        <v>23</v>
      </c>
      <c r="I18" t="s">
        <v>34</v>
      </c>
      <c r="J18" t="s">
        <v>103</v>
      </c>
      <c r="K18" t="s">
        <v>68</v>
      </c>
      <c r="L18" t="s">
        <v>104</v>
      </c>
      <c r="M18" t="s">
        <v>105</v>
      </c>
      <c r="N18">
        <v>0</v>
      </c>
      <c r="O18" t="s">
        <v>59</v>
      </c>
    </row>
    <row r="19" spans="1:15">
      <c r="A19" s="4" t="str">
        <f>HYPERLINK("https://www.analog.com/en/ADXRS652#details", "ADXRS652")</f>
        <v>ADXRS652</v>
      </c>
      <c r="B19" t="s">
        <v>106</v>
      </c>
      <c r="C19" t="s">
        <v>30</v>
      </c>
      <c r="D19">
        <v>1</v>
      </c>
      <c r="E19">
        <v>300</v>
      </c>
      <c r="F19" t="s">
        <v>49</v>
      </c>
      <c r="G19" t="s">
        <v>50</v>
      </c>
      <c r="H19" t="s">
        <v>23</v>
      </c>
      <c r="I19" t="s">
        <v>34</v>
      </c>
      <c r="J19" t="s">
        <v>107</v>
      </c>
      <c r="K19" t="s">
        <v>68</v>
      </c>
      <c r="L19" t="s">
        <v>108</v>
      </c>
      <c r="M19" t="s">
        <v>109</v>
      </c>
      <c r="N19">
        <v>1120</v>
      </c>
      <c r="O19" t="s">
        <v>47</v>
      </c>
    </row>
    <row r="20" spans="1:15">
      <c r="A20" s="4" t="str">
        <f>HYPERLINK("https://www.analog.com/en/ADIS16260#details", "ADIS16260")</f>
        <v>ADIS16260</v>
      </c>
      <c r="B20" t="s">
        <v>110</v>
      </c>
      <c r="C20" t="s">
        <v>30</v>
      </c>
      <c r="D20">
        <v>1</v>
      </c>
      <c r="E20">
        <v>320</v>
      </c>
      <c r="F20" t="s">
        <v>49</v>
      </c>
      <c r="G20" t="s">
        <v>50</v>
      </c>
      <c r="H20" t="s">
        <v>41</v>
      </c>
      <c r="I20" t="s">
        <v>34</v>
      </c>
      <c r="J20" t="s">
        <v>111</v>
      </c>
      <c r="K20" t="s">
        <v>112</v>
      </c>
      <c r="L20" t="s">
        <v>113</v>
      </c>
      <c r="M20" t="s">
        <v>114</v>
      </c>
      <c r="N20">
        <v>1</v>
      </c>
      <c r="O20" t="s">
        <v>38</v>
      </c>
    </row>
    <row r="21" spans="1:15">
      <c r="A21" s="4" t="str">
        <f>HYPERLINK("https://www.analog.com/en/ADIS16265#details", "ADIS16265")</f>
        <v>ADIS16265</v>
      </c>
      <c r="B21" t="s">
        <v>115</v>
      </c>
      <c r="C21" t="s">
        <v>30</v>
      </c>
      <c r="D21">
        <v>1</v>
      </c>
      <c r="E21">
        <v>320</v>
      </c>
      <c r="F21" t="s">
        <v>49</v>
      </c>
      <c r="G21" t="s">
        <v>50</v>
      </c>
      <c r="H21" t="s">
        <v>41</v>
      </c>
      <c r="I21" t="s">
        <v>34</v>
      </c>
      <c r="J21" t="s">
        <v>116</v>
      </c>
      <c r="K21" t="s">
        <v>112</v>
      </c>
      <c r="L21" t="s">
        <v>117</v>
      </c>
      <c r="M21" t="s">
        <v>118</v>
      </c>
      <c r="N21">
        <v>1</v>
      </c>
      <c r="O21" t="s">
        <v>38</v>
      </c>
    </row>
    <row r="22" spans="1:15">
      <c r="A22" s="4" t="str">
        <f>HYPERLINK("https://www.analog.com/en/ADXRS622#details", "ADXRS622")</f>
        <v>ADXRS622</v>
      </c>
      <c r="B22" t="s">
        <v>119</v>
      </c>
      <c r="C22" t="s">
        <v>30</v>
      </c>
      <c r="D22">
        <v>1</v>
      </c>
      <c r="E22">
        <v>300</v>
      </c>
      <c r="F22" t="s">
        <v>49</v>
      </c>
      <c r="G22" t="s">
        <v>50</v>
      </c>
      <c r="H22" t="s">
        <v>23</v>
      </c>
      <c r="I22" t="s">
        <v>34</v>
      </c>
      <c r="J22" t="s">
        <v>120</v>
      </c>
      <c r="K22" t="s">
        <v>68</v>
      </c>
      <c r="L22" t="s">
        <v>121</v>
      </c>
      <c r="M22" t="s">
        <v>122</v>
      </c>
      <c r="N22">
        <v>0</v>
      </c>
      <c r="O22" t="s">
        <v>38</v>
      </c>
    </row>
    <row r="23" spans="1:15">
      <c r="A23" s="4" t="str">
        <f>HYPERLINK("https://www.analog.com/en/ADIS16060#details", "ADIS16060")</f>
        <v>ADIS16060</v>
      </c>
      <c r="B23" t="s">
        <v>123</v>
      </c>
      <c r="C23" t="s">
        <v>30</v>
      </c>
      <c r="D23">
        <v>1</v>
      </c>
      <c r="E23">
        <v>80</v>
      </c>
      <c r="F23" t="s">
        <v>49</v>
      </c>
      <c r="G23" t="s">
        <v>50</v>
      </c>
      <c r="H23" t="s">
        <v>41</v>
      </c>
      <c r="I23" t="s">
        <v>34</v>
      </c>
      <c r="J23" t="s">
        <v>124</v>
      </c>
      <c r="K23" t="s">
        <v>125</v>
      </c>
      <c r="L23" t="s">
        <v>126</v>
      </c>
      <c r="M23" t="s">
        <v>127</v>
      </c>
      <c r="N23">
        <v>2</v>
      </c>
      <c r="O2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23"/>
  <sheetViews>
    <sheetView tabSelected="1" workbookViewId="0">
      <selection activeCell="E5" sqref="E5"/>
    </sheetView>
  </sheetViews>
  <sheetFormatPr defaultColWidth="12.88671875" defaultRowHeight="14.4"/>
  <cols>
    <col min="1" max="1" width="12.88671875" style="5"/>
    <col min="2" max="2" width="43" style="5" customWidth="1"/>
    <col min="3" max="3" width="12.88671875" style="5"/>
    <col min="4" max="4" width="7.88671875" style="5" customWidth="1"/>
    <col min="5" max="5" width="9.33203125" style="5" customWidth="1"/>
    <col min="6" max="6" width="8.21875" style="5" customWidth="1"/>
    <col min="7" max="7" width="6.44140625" style="5" customWidth="1"/>
    <col min="8" max="8" width="8.77734375" style="5" customWidth="1"/>
    <col min="9" max="9" width="12.88671875" style="5"/>
    <col min="10" max="10" width="8.44140625" style="5" customWidth="1"/>
    <col min="11" max="16384" width="12.88671875" style="5"/>
  </cols>
  <sheetData>
    <row r="1" spans="1:15" s="9" customFormat="1" ht="36" customHeight="1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</row>
    <row r="2" spans="1:15" hidden="1">
      <c r="A2" s="6" t="s">
        <v>23</v>
      </c>
      <c r="B2" s="6" t="s">
        <v>23</v>
      </c>
      <c r="C2" s="6" t="s">
        <v>23</v>
      </c>
      <c r="D2" s="6" t="s">
        <v>23</v>
      </c>
      <c r="E2" s="6" t="s">
        <v>24</v>
      </c>
      <c r="F2" s="6" t="s">
        <v>25</v>
      </c>
      <c r="G2" s="6" t="s">
        <v>25</v>
      </c>
      <c r="H2" s="6" t="s">
        <v>23</v>
      </c>
      <c r="I2" s="6" t="s">
        <v>23</v>
      </c>
      <c r="J2" s="6" t="s">
        <v>26</v>
      </c>
      <c r="K2" s="6" t="s">
        <v>23</v>
      </c>
      <c r="L2" s="6" t="s">
        <v>27</v>
      </c>
      <c r="M2" s="6" t="s">
        <v>28</v>
      </c>
      <c r="N2" s="6" t="s">
        <v>23</v>
      </c>
      <c r="O2" s="6" t="s">
        <v>23</v>
      </c>
    </row>
    <row r="3" spans="1:15" hidden="1">
      <c r="A3" s="7" t="str">
        <f>HYPERLINK("https://www.analog.com/en/ADXRS910#details", "ADXRS910")</f>
        <v>ADXRS910</v>
      </c>
      <c r="B3" s="5" t="s">
        <v>29</v>
      </c>
      <c r="C3" s="5" t="s">
        <v>30</v>
      </c>
      <c r="D3" s="5">
        <v>1</v>
      </c>
      <c r="E3" s="5">
        <v>300</v>
      </c>
      <c r="F3" s="5">
        <v>3.3</v>
      </c>
      <c r="G3" s="5">
        <v>5</v>
      </c>
      <c r="H3" s="5" t="s">
        <v>33</v>
      </c>
      <c r="I3" s="5" t="s">
        <v>34</v>
      </c>
      <c r="J3" s="5" t="s">
        <v>23</v>
      </c>
      <c r="K3" s="5" t="s">
        <v>35</v>
      </c>
      <c r="L3" s="5">
        <v>107.32599999999999</v>
      </c>
      <c r="M3" s="5">
        <v>3.58</v>
      </c>
      <c r="N3" s="5">
        <v>0</v>
      </c>
      <c r="O3" s="5" t="s">
        <v>38</v>
      </c>
    </row>
    <row r="4" spans="1:15">
      <c r="A4" s="7" t="str">
        <f>HYPERLINK("https://www.analog.com/en/ADXRS290#details", "ADXRS290")</f>
        <v>ADXRS290</v>
      </c>
      <c r="B4" s="5" t="s">
        <v>128</v>
      </c>
      <c r="C4" s="5" t="s">
        <v>30</v>
      </c>
      <c r="D4" s="5">
        <v>2</v>
      </c>
      <c r="E4" s="5">
        <v>100</v>
      </c>
      <c r="F4" s="5">
        <v>2.7</v>
      </c>
      <c r="G4" s="5">
        <v>5</v>
      </c>
      <c r="H4" s="5" t="s">
        <v>41</v>
      </c>
      <c r="I4" s="5" t="s">
        <v>42</v>
      </c>
      <c r="J4" s="5">
        <v>11.65</v>
      </c>
      <c r="K4" s="5" t="s">
        <v>44</v>
      </c>
      <c r="L4" s="5">
        <v>26.1</v>
      </c>
      <c r="M4" s="5">
        <v>1.2</v>
      </c>
      <c r="N4" s="5">
        <v>3487</v>
      </c>
      <c r="O4" s="5" t="s">
        <v>47</v>
      </c>
    </row>
    <row r="5" spans="1:15">
      <c r="A5" s="7" t="str">
        <f>HYPERLINK("https://www.analog.com/en/ADXRS645#details", "ADXRS645")</f>
        <v>ADXRS645</v>
      </c>
      <c r="B5" s="5" t="s">
        <v>129</v>
      </c>
      <c r="C5" s="5" t="s">
        <v>30</v>
      </c>
      <c r="D5" s="5">
        <v>1</v>
      </c>
      <c r="E5" s="5">
        <v>2000</v>
      </c>
      <c r="F5" s="5">
        <v>4.75</v>
      </c>
      <c r="G5" s="5">
        <v>5.25</v>
      </c>
      <c r="H5" s="5" t="s">
        <v>23</v>
      </c>
      <c r="I5" s="5" t="s">
        <v>51</v>
      </c>
      <c r="J5" s="5">
        <v>1207.98</v>
      </c>
      <c r="K5" s="5" t="s">
        <v>53</v>
      </c>
      <c r="L5" s="5">
        <v>72</v>
      </c>
      <c r="M5" s="5">
        <v>2.85</v>
      </c>
      <c r="N5" s="5">
        <v>0</v>
      </c>
      <c r="O5" s="5" t="s">
        <v>47</v>
      </c>
    </row>
    <row r="6" spans="1:15" hidden="1">
      <c r="A6" s="7" t="str">
        <f>HYPERLINK("https://www.analog.com/en/ADIS16137#details", "ADIS16137")</f>
        <v>ADIS16137</v>
      </c>
      <c r="B6" s="5" t="s">
        <v>56</v>
      </c>
      <c r="C6" s="5" t="s">
        <v>30</v>
      </c>
      <c r="D6" s="5">
        <v>1</v>
      </c>
      <c r="E6" s="5">
        <v>1000</v>
      </c>
      <c r="F6" s="5">
        <v>4.75</v>
      </c>
      <c r="G6" s="5">
        <v>5.25</v>
      </c>
      <c r="H6" s="5" t="s">
        <v>41</v>
      </c>
      <c r="I6" s="5" t="s">
        <v>34</v>
      </c>
      <c r="J6" s="5">
        <v>1752.13</v>
      </c>
      <c r="K6" s="5" t="s">
        <v>58</v>
      </c>
      <c r="L6" s="5" t="s">
        <v>23</v>
      </c>
      <c r="M6" s="5" t="s">
        <v>23</v>
      </c>
      <c r="N6" s="5">
        <v>10</v>
      </c>
      <c r="O6" s="5" t="s">
        <v>59</v>
      </c>
    </row>
    <row r="7" spans="1:15" hidden="1">
      <c r="A7" s="7" t="str">
        <f>HYPERLINK("https://www.analog.com/en/ADXRS810#details", "ADXRS810")</f>
        <v>ADXRS810</v>
      </c>
      <c r="B7" s="5" t="s">
        <v>130</v>
      </c>
      <c r="C7" s="5" t="s">
        <v>30</v>
      </c>
      <c r="D7" s="5">
        <v>1</v>
      </c>
      <c r="E7" s="5">
        <v>300</v>
      </c>
      <c r="F7" s="5">
        <v>3.15</v>
      </c>
      <c r="G7" s="5">
        <v>5.25</v>
      </c>
      <c r="H7" s="5" t="s">
        <v>41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>
        <v>0</v>
      </c>
      <c r="O7" s="5" t="s">
        <v>59</v>
      </c>
    </row>
    <row r="8" spans="1:15" hidden="1">
      <c r="A8" s="7" t="str">
        <f>HYPERLINK("https://www.analog.com/en/ADIS16136#details", "ADIS16136")</f>
        <v>ADIS16136</v>
      </c>
      <c r="B8" s="5" t="s">
        <v>62</v>
      </c>
      <c r="C8" s="5" t="s">
        <v>30</v>
      </c>
      <c r="D8" s="5">
        <v>1</v>
      </c>
      <c r="E8" s="5">
        <v>450</v>
      </c>
      <c r="F8" s="5">
        <v>4.75</v>
      </c>
      <c r="G8" s="5">
        <v>5.25</v>
      </c>
      <c r="H8" s="5" t="s">
        <v>41</v>
      </c>
      <c r="I8" s="5" t="s">
        <v>63</v>
      </c>
      <c r="J8" s="5">
        <v>1452.42</v>
      </c>
      <c r="K8" s="5" t="s">
        <v>58</v>
      </c>
      <c r="L8" s="5" t="s">
        <v>23</v>
      </c>
      <c r="M8" s="5" t="s">
        <v>23</v>
      </c>
      <c r="N8" s="5">
        <v>46</v>
      </c>
      <c r="O8" s="5" t="s">
        <v>59</v>
      </c>
    </row>
    <row r="9" spans="1:15" hidden="1">
      <c r="A9" s="7" t="str">
        <f>HYPERLINK("https://www.analog.com/en/ADXRS800#details", "ADXRS800")</f>
        <v>ADXRS800</v>
      </c>
      <c r="B9" s="5" t="s">
        <v>130</v>
      </c>
      <c r="C9" s="5" t="s">
        <v>30</v>
      </c>
      <c r="D9" s="5">
        <v>1</v>
      </c>
      <c r="E9" s="5">
        <v>300</v>
      </c>
      <c r="F9" s="5">
        <v>3</v>
      </c>
      <c r="G9" s="5">
        <v>5</v>
      </c>
      <c r="H9" s="5" t="s">
        <v>41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>
        <v>0</v>
      </c>
      <c r="O9" s="5" t="s">
        <v>59</v>
      </c>
    </row>
    <row r="10" spans="1:15">
      <c r="A10" s="7" t="str">
        <f>HYPERLINK("https://www.analog.com/en/ADXRS642#details", "ADXRS642")</f>
        <v>ADXRS642</v>
      </c>
      <c r="B10" s="5" t="s">
        <v>66</v>
      </c>
      <c r="C10" s="5" t="s">
        <v>30</v>
      </c>
      <c r="D10" s="5">
        <v>1</v>
      </c>
      <c r="E10" s="5">
        <v>300</v>
      </c>
      <c r="F10" s="5">
        <v>4.75</v>
      </c>
      <c r="G10" s="5">
        <v>5.25</v>
      </c>
      <c r="H10" s="5" t="s">
        <v>23</v>
      </c>
      <c r="I10" s="5" t="s">
        <v>34</v>
      </c>
      <c r="J10" s="5">
        <v>49.26</v>
      </c>
      <c r="K10" s="5" t="s">
        <v>68</v>
      </c>
      <c r="L10" s="5">
        <v>49.702500000000001</v>
      </c>
      <c r="M10" s="5">
        <v>3.2</v>
      </c>
      <c r="N10" s="5">
        <v>0</v>
      </c>
      <c r="O10" s="5" t="s">
        <v>47</v>
      </c>
    </row>
    <row r="11" spans="1:15" hidden="1">
      <c r="A11" s="7" t="str">
        <f>HYPERLINK("https://www.analog.com/en/ADXRS646#details", "ADXRS646")</f>
        <v>ADXRS646</v>
      </c>
      <c r="B11" s="5" t="s">
        <v>131</v>
      </c>
      <c r="C11" s="5" t="s">
        <v>23</v>
      </c>
      <c r="D11" s="5">
        <v>1</v>
      </c>
      <c r="E11" s="5">
        <v>300</v>
      </c>
      <c r="F11" s="5">
        <v>5.75</v>
      </c>
      <c r="G11" s="5">
        <v>6.25</v>
      </c>
      <c r="H11" s="5" t="s">
        <v>23</v>
      </c>
      <c r="I11" s="5" t="s">
        <v>74</v>
      </c>
      <c r="J11" s="5">
        <v>72.760000000000005</v>
      </c>
      <c r="K11" s="5" t="s">
        <v>68</v>
      </c>
      <c r="L11" s="5">
        <v>49.702500000000001</v>
      </c>
      <c r="M11" s="5">
        <v>3.2</v>
      </c>
      <c r="N11" s="5">
        <v>62</v>
      </c>
      <c r="O11" s="5" t="s">
        <v>38</v>
      </c>
    </row>
    <row r="12" spans="1:15">
      <c r="A12" s="7" t="str">
        <f>HYPERLINK("https://www.analog.com/en/ADXRS649#details", "ADXRS649")</f>
        <v>ADXRS649</v>
      </c>
      <c r="B12" s="5" t="s">
        <v>132</v>
      </c>
      <c r="C12" s="5" t="s">
        <v>30</v>
      </c>
      <c r="D12" s="5">
        <v>1</v>
      </c>
      <c r="E12" s="5">
        <v>20000</v>
      </c>
      <c r="F12" s="5">
        <v>4.75</v>
      </c>
      <c r="G12" s="5">
        <v>5.25</v>
      </c>
      <c r="H12" s="5" t="s">
        <v>23</v>
      </c>
      <c r="I12" s="5" t="s">
        <v>34</v>
      </c>
      <c r="J12" s="5">
        <v>68.959999999999994</v>
      </c>
      <c r="K12" s="5" t="s">
        <v>68</v>
      </c>
      <c r="L12" s="5">
        <v>49.702500000000001</v>
      </c>
      <c r="M12" s="5">
        <v>3.2</v>
      </c>
      <c r="N12" s="5">
        <v>0</v>
      </c>
      <c r="O12" s="5" t="s">
        <v>47</v>
      </c>
    </row>
    <row r="13" spans="1:15">
      <c r="A13" s="7" t="str">
        <f>HYPERLINK("https://www.analog.com/en/ADXRS453#details", "ADXRS453")</f>
        <v>ADXRS453</v>
      </c>
      <c r="B13" s="5" t="s">
        <v>133</v>
      </c>
      <c r="C13" s="5" t="s">
        <v>30</v>
      </c>
      <c r="D13" s="5">
        <v>1</v>
      </c>
      <c r="E13" s="5">
        <v>400</v>
      </c>
      <c r="F13" s="5">
        <v>3.15</v>
      </c>
      <c r="G13" s="5">
        <v>5.25</v>
      </c>
      <c r="H13" s="5" t="s">
        <v>41</v>
      </c>
      <c r="I13" s="5" t="s">
        <v>34</v>
      </c>
      <c r="J13" s="5">
        <v>61.94</v>
      </c>
      <c r="K13" s="5" t="s">
        <v>84</v>
      </c>
      <c r="L13" s="5">
        <v>80.34</v>
      </c>
      <c r="M13" s="5">
        <v>3.58</v>
      </c>
      <c r="N13" s="5">
        <v>4000</v>
      </c>
      <c r="O13" s="5" t="s">
        <v>47</v>
      </c>
    </row>
    <row r="14" spans="1:15">
      <c r="A14" s="7" t="str">
        <f>HYPERLINK("https://www.analog.com/en/ADXRS450#details", "ADXRS450")</f>
        <v>ADXRS450</v>
      </c>
      <c r="B14" s="5" t="s">
        <v>87</v>
      </c>
      <c r="C14" s="5" t="s">
        <v>30</v>
      </c>
      <c r="D14" s="5">
        <v>1</v>
      </c>
      <c r="E14" s="5">
        <v>400</v>
      </c>
      <c r="F14" s="5">
        <v>3.15</v>
      </c>
      <c r="G14" s="5">
        <v>5.25</v>
      </c>
      <c r="H14" s="5" t="s">
        <v>41</v>
      </c>
      <c r="I14" s="5" t="s">
        <v>34</v>
      </c>
      <c r="J14" s="5">
        <v>42.99</v>
      </c>
      <c r="K14" s="5" t="s">
        <v>84</v>
      </c>
      <c r="L14" s="5">
        <v>80.34</v>
      </c>
      <c r="M14" s="5">
        <v>3.58</v>
      </c>
      <c r="N14" s="5">
        <v>5950</v>
      </c>
      <c r="O14" s="5" t="s">
        <v>47</v>
      </c>
    </row>
    <row r="15" spans="1:15">
      <c r="A15" s="7" t="str">
        <f>HYPERLINK("https://www.analog.com/en/ADIS16135#details", "ADIS16135")</f>
        <v>ADIS16135</v>
      </c>
      <c r="B15" s="5" t="s">
        <v>91</v>
      </c>
      <c r="C15" s="5" t="s">
        <v>30</v>
      </c>
      <c r="D15" s="5">
        <v>1</v>
      </c>
      <c r="E15" s="5">
        <v>350</v>
      </c>
      <c r="F15" s="5">
        <v>4.8499999999999996</v>
      </c>
      <c r="G15" s="5">
        <v>5.25</v>
      </c>
      <c r="H15" s="5" t="s">
        <v>41</v>
      </c>
      <c r="I15" s="5" t="s">
        <v>34</v>
      </c>
      <c r="J15" s="5">
        <v>1269.29</v>
      </c>
      <c r="K15" s="5" t="s">
        <v>58</v>
      </c>
      <c r="L15" s="5" t="s">
        <v>23</v>
      </c>
      <c r="M15" s="5" t="s">
        <v>23</v>
      </c>
      <c r="N15" s="5">
        <v>4108</v>
      </c>
      <c r="O15" s="5" t="s">
        <v>47</v>
      </c>
    </row>
    <row r="16" spans="1:15" hidden="1">
      <c r="A16" s="7" t="str">
        <f>HYPERLINK("https://www.analog.com/en/ADXRS623#details", "ADXRS623")</f>
        <v>ADXRS623</v>
      </c>
      <c r="B16" s="5" t="s">
        <v>94</v>
      </c>
      <c r="C16" s="5" t="s">
        <v>30</v>
      </c>
      <c r="D16" s="5">
        <v>1</v>
      </c>
      <c r="E16" s="5">
        <v>150</v>
      </c>
      <c r="F16" s="5">
        <v>4.75</v>
      </c>
      <c r="G16" s="5">
        <v>5.25</v>
      </c>
      <c r="H16" s="5" t="s">
        <v>23</v>
      </c>
      <c r="I16" s="5" t="s">
        <v>34</v>
      </c>
      <c r="J16" s="5">
        <v>34.979999999999997</v>
      </c>
      <c r="K16" s="5" t="s">
        <v>68</v>
      </c>
      <c r="L16" s="5">
        <v>49.702500000000001</v>
      </c>
      <c r="M16" s="5">
        <v>3.2</v>
      </c>
      <c r="N16" s="5">
        <v>0</v>
      </c>
      <c r="O16" s="5" t="s">
        <v>38</v>
      </c>
    </row>
    <row r="17" spans="1:15" hidden="1">
      <c r="A17" s="7" t="str">
        <f>HYPERLINK("https://www.analog.com/en/ADXRS624#details", "ADXRS624")</f>
        <v>ADXRS624</v>
      </c>
      <c r="B17" s="5" t="s">
        <v>98</v>
      </c>
      <c r="C17" s="5" t="s">
        <v>30</v>
      </c>
      <c r="D17" s="5">
        <v>1</v>
      </c>
      <c r="E17" s="5">
        <v>75</v>
      </c>
      <c r="F17" s="5">
        <v>4.75</v>
      </c>
      <c r="G17" s="5">
        <v>5.25</v>
      </c>
      <c r="H17" s="5" t="s">
        <v>23</v>
      </c>
      <c r="I17" s="5" t="s">
        <v>34</v>
      </c>
      <c r="J17" s="5">
        <v>34.979999999999997</v>
      </c>
      <c r="K17" s="5" t="s">
        <v>68</v>
      </c>
      <c r="L17" s="5">
        <v>49.702500000000001</v>
      </c>
      <c r="M17" s="5">
        <v>3.2</v>
      </c>
      <c r="N17" s="5">
        <v>0</v>
      </c>
      <c r="O17" s="5" t="s">
        <v>38</v>
      </c>
    </row>
    <row r="18" spans="1:15" hidden="1">
      <c r="A18" s="7" t="str">
        <f>HYPERLINK("https://www.analog.com/en/ADXRS620#details", "ADXRS620")</f>
        <v>ADXRS620</v>
      </c>
      <c r="B18" s="5" t="s">
        <v>102</v>
      </c>
      <c r="C18" s="5" t="s">
        <v>30</v>
      </c>
      <c r="D18" s="5">
        <v>1</v>
      </c>
      <c r="E18" s="5">
        <v>300</v>
      </c>
      <c r="F18" s="5">
        <v>4.75</v>
      </c>
      <c r="G18" s="5">
        <v>5.25</v>
      </c>
      <c r="H18" s="5" t="s">
        <v>23</v>
      </c>
      <c r="I18" s="5" t="s">
        <v>34</v>
      </c>
      <c r="J18" s="5">
        <v>36.03</v>
      </c>
      <c r="K18" s="5" t="s">
        <v>68</v>
      </c>
      <c r="L18" s="5">
        <v>49.702500000000001</v>
      </c>
      <c r="M18" s="5">
        <v>3.2</v>
      </c>
      <c r="N18" s="5">
        <v>0</v>
      </c>
      <c r="O18" s="5" t="s">
        <v>59</v>
      </c>
    </row>
    <row r="19" spans="1:15">
      <c r="A19" s="7" t="str">
        <f>HYPERLINK("https://www.analog.com/en/ADXRS652#details", "ADXRS652")</f>
        <v>ADXRS652</v>
      </c>
      <c r="B19" s="5" t="s">
        <v>106</v>
      </c>
      <c r="C19" s="5" t="s">
        <v>30</v>
      </c>
      <c r="D19" s="5">
        <v>1</v>
      </c>
      <c r="E19" s="5">
        <v>300</v>
      </c>
      <c r="F19" s="5">
        <v>4.75</v>
      </c>
      <c r="G19" s="5">
        <v>5.25</v>
      </c>
      <c r="H19" s="5" t="s">
        <v>23</v>
      </c>
      <c r="I19" s="5" t="s">
        <v>34</v>
      </c>
      <c r="J19" s="5">
        <v>27.85</v>
      </c>
      <c r="K19" s="5" t="s">
        <v>68</v>
      </c>
      <c r="L19" s="5">
        <v>49.702500000000001</v>
      </c>
      <c r="M19" s="5">
        <v>3.2</v>
      </c>
      <c r="N19" s="5">
        <v>1120</v>
      </c>
      <c r="O19" s="5" t="s">
        <v>47</v>
      </c>
    </row>
    <row r="20" spans="1:15" hidden="1">
      <c r="A20" s="7" t="str">
        <f>HYPERLINK("https://www.analog.com/en/ADIS16260#details", "ADIS16260")</f>
        <v>ADIS16260</v>
      </c>
      <c r="B20" s="5" t="s">
        <v>110</v>
      </c>
      <c r="C20" s="5" t="s">
        <v>30</v>
      </c>
      <c r="D20" s="5">
        <v>1</v>
      </c>
      <c r="E20" s="5">
        <v>320</v>
      </c>
      <c r="F20" s="5">
        <v>4.75</v>
      </c>
      <c r="G20" s="5">
        <v>5.25</v>
      </c>
      <c r="H20" s="5" t="s">
        <v>41</v>
      </c>
      <c r="I20" s="5" t="s">
        <v>34</v>
      </c>
      <c r="J20" s="5">
        <v>76.38</v>
      </c>
      <c r="K20" s="5" t="s">
        <v>112</v>
      </c>
      <c r="L20" s="5">
        <v>124.32250000000001</v>
      </c>
      <c r="M20" s="5">
        <v>5.5</v>
      </c>
      <c r="N20" s="5">
        <v>1</v>
      </c>
      <c r="O20" s="5" t="s">
        <v>38</v>
      </c>
    </row>
    <row r="21" spans="1:15" hidden="1">
      <c r="A21" s="7" t="str">
        <f>HYPERLINK("https://www.analog.com/en/ADIS16265#details", "ADIS16265")</f>
        <v>ADIS16265</v>
      </c>
      <c r="B21" s="5" t="s">
        <v>115</v>
      </c>
      <c r="C21" s="5" t="s">
        <v>30</v>
      </c>
      <c r="D21" s="5">
        <v>1</v>
      </c>
      <c r="E21" s="5">
        <v>320</v>
      </c>
      <c r="F21" s="5">
        <v>4.75</v>
      </c>
      <c r="G21" s="5">
        <v>5.25</v>
      </c>
      <c r="H21" s="5" t="s">
        <v>41</v>
      </c>
      <c r="I21" s="5" t="s">
        <v>34</v>
      </c>
      <c r="J21" s="5">
        <v>126.51</v>
      </c>
      <c r="K21" s="5" t="s">
        <v>112</v>
      </c>
      <c r="L21" s="5">
        <v>124.32250000000001</v>
      </c>
      <c r="M21" s="5">
        <v>5.5</v>
      </c>
      <c r="N21" s="5">
        <v>1</v>
      </c>
      <c r="O21" s="5" t="s">
        <v>38</v>
      </c>
    </row>
    <row r="22" spans="1:15" hidden="1">
      <c r="A22" s="7" t="str">
        <f>HYPERLINK("https://www.analog.com/en/ADXRS622#details", "ADXRS622")</f>
        <v>ADXRS622</v>
      </c>
      <c r="B22" s="5" t="s">
        <v>119</v>
      </c>
      <c r="C22" s="5" t="s">
        <v>30</v>
      </c>
      <c r="D22" s="5">
        <v>1</v>
      </c>
      <c r="E22" s="5">
        <v>300</v>
      </c>
      <c r="F22" s="5">
        <v>4.75</v>
      </c>
      <c r="G22" s="5">
        <v>5.25</v>
      </c>
      <c r="H22" s="5" t="s">
        <v>23</v>
      </c>
      <c r="I22" s="5" t="s">
        <v>34</v>
      </c>
      <c r="J22" s="5">
        <v>36.03</v>
      </c>
      <c r="K22" s="5" t="s">
        <v>68</v>
      </c>
      <c r="L22" s="5">
        <v>49.702500000000001</v>
      </c>
      <c r="M22" s="5">
        <v>3.2</v>
      </c>
      <c r="N22" s="5">
        <v>0</v>
      </c>
      <c r="O22" s="5" t="s">
        <v>38</v>
      </c>
    </row>
    <row r="23" spans="1:15" hidden="1">
      <c r="A23" s="7" t="str">
        <f>HYPERLINK("https://www.analog.com/en/ADIS16060#details", "ADIS16060")</f>
        <v>ADIS16060</v>
      </c>
      <c r="B23" s="5" t="s">
        <v>123</v>
      </c>
      <c r="C23" s="5" t="s">
        <v>30</v>
      </c>
      <c r="D23" s="5">
        <v>1</v>
      </c>
      <c r="E23" s="5">
        <v>80</v>
      </c>
      <c r="F23" s="5">
        <v>4.75</v>
      </c>
      <c r="G23" s="5">
        <v>5.25</v>
      </c>
      <c r="H23" s="5" t="s">
        <v>41</v>
      </c>
      <c r="I23" s="5" t="s">
        <v>34</v>
      </c>
      <c r="J23" s="5">
        <v>220.5</v>
      </c>
      <c r="K23" s="5" t="s">
        <v>125</v>
      </c>
      <c r="L23" s="5">
        <v>69.722499999999997</v>
      </c>
      <c r="M23" s="5">
        <v>5.2</v>
      </c>
      <c r="N23" s="5">
        <v>2</v>
      </c>
      <c r="O23" s="5" t="s">
        <v>59</v>
      </c>
    </row>
  </sheetData>
  <autoFilter ref="A1:O23" xr:uid="{00000000-0001-0000-0200-000000000000}">
    <filterColumn colId="14">
      <filters>
        <filter val="Recommended for New Desig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Web Display</vt:lpstr>
      <vt:lpstr>Raw Data 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baosheng wang</cp:lastModifiedBy>
  <dcterms:modified xsi:type="dcterms:W3CDTF">2026-01-27T07:07:12Z</dcterms:modified>
</cp:coreProperties>
</file>