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Temp\IMU\Analog Devices\"/>
    </mc:Choice>
  </mc:AlternateContent>
  <xr:revisionPtr revIDLastSave="0" documentId="13_ncr:1_{D3E4BA64-3C06-4E23-9DE6-DD72A359AD1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Web Display" sheetId="2" r:id="rId2"/>
    <sheet name="Raw Data Display" sheetId="3" r:id="rId3"/>
  </sheets>
  <calcPr calcId="191029"/>
</workbook>
</file>

<file path=xl/calcChain.xml><?xml version="1.0" encoding="utf-8"?>
<calcChain xmlns="http://schemas.openxmlformats.org/spreadsheetml/2006/main">
  <c r="A8" i="3" l="1"/>
  <c r="A7" i="3"/>
  <c r="A6" i="3"/>
  <c r="A5" i="3"/>
  <c r="A4" i="3"/>
  <c r="A3" i="3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<sst xmlns="http://schemas.openxmlformats.org/spreadsheetml/2006/main" count="144" uniqueCount="59">
  <si>
    <t>Date Created</t>
  </si>
  <si>
    <t>1/27/2026, 4:09:07 PM</t>
  </si>
  <si>
    <t>Product Type</t>
  </si>
  <si>
    <t>Magnetic Sensors</t>
  </si>
  <si>
    <t>Web Link</t>
  </si>
  <si>
    <t>https://www.analog.com/en/parametricsearch/2478#/</t>
  </si>
  <si>
    <t>Filter Conditions</t>
  </si>
  <si>
    <t>(None)</t>
  </si>
  <si>
    <t>Part Number</t>
  </si>
  <si>
    <t>Description</t>
  </si>
  <si>
    <t>Magnetic Sensor Technology</t>
  </si>
  <si>
    <t>Output Signal Type</t>
  </si>
  <si>
    <t>Temperature Range</t>
  </si>
  <si>
    <t>1ku List Price</t>
  </si>
  <si>
    <t>Package</t>
  </si>
  <si>
    <t>Package Area</t>
  </si>
  <si>
    <t>Package Height</t>
  </si>
  <si>
    <t>Availability</t>
  </si>
  <si>
    <t>Lifecycle</t>
  </si>
  <si>
    <t/>
  </si>
  <si>
    <t>$ US; ¥ RMB</t>
  </si>
  <si>
    <t>mm²</t>
  </si>
  <si>
    <t>mm</t>
  </si>
  <si>
    <t>True Power-On Multiturn Sensor</t>
  </si>
  <si>
    <t>Anisotropic Magneto Resistive, Giant Magneto Resistive, Magneto Resistive</t>
  </si>
  <si>
    <t>Digital Signal</t>
  </si>
  <si>
    <t>-40 to 125°C</t>
  </si>
  <si>
    <t>$9.5 (ADMT4000BRUZAB)</t>
  </si>
  <si>
    <t>24-Lead TSSOP</t>
  </si>
  <si>
    <t>50.56mm² (24-Lead TSSOP) (ADMT4000BRUZAB)</t>
  </si>
  <si>
    <t>1.2mm (24-Lead TSSOP) (ADMT4000BRUZAB)</t>
  </si>
  <si>
    <t>Recommended for New Designs</t>
  </si>
  <si>
    <t>Integrated 8 mT AMR Magnetic Field Sensor and Signal Conditioner</t>
  </si>
  <si>
    <t>Magneto Resistive</t>
  </si>
  <si>
    <t>Analog Signal</t>
  </si>
  <si>
    <t>$3.6 (ADAF1080BCPZ)</t>
  </si>
  <si>
    <t>LFCSP</t>
  </si>
  <si>
    <t>Integrated AMR Angle Sensor and Signal Conditioner with Differential Outputs</t>
  </si>
  <si>
    <t>-40 to 150°C</t>
  </si>
  <si>
    <t>$1.28 (ADA4570BRZ)</t>
  </si>
  <si>
    <t>8-Lead SOIC</t>
  </si>
  <si>
    <t>31mm² (8-Lead SOIC) (ADA4570BRZ)</t>
  </si>
  <si>
    <t>1.75mm (8-Lead SOIC) (ADA4570BRZ)</t>
  </si>
  <si>
    <t>Dual Integrated AMR Angle Sensor and Signal Conditioner</t>
  </si>
  <si>
    <t>$3.12 (ADA4571-2WHRZ-RL)</t>
  </si>
  <si>
    <t>16-Lead SOIC</t>
  </si>
  <si>
    <t>38.61mm² (16-Lead SOIC) (ADA4571-2WHRZ-RL)</t>
  </si>
  <si>
    <t>1.75mm (16-Lead SOIC) (ADA4571-2WHRZ-RL)</t>
  </si>
  <si>
    <t>Integrated AMR Angle Sensor and Signal Conditioner</t>
  </si>
  <si>
    <t>$1.41 (ADA4571BRZ)</t>
  </si>
  <si>
    <t>31mm² (8-Lead SOIC) (ADA4571BRZ)</t>
  </si>
  <si>
    <t>1.75mm (8-Lead SOIC) (ADA4571BRZ)</t>
  </si>
  <si>
    <t>Linear Output Magnetic Field Transducer</t>
  </si>
  <si>
    <t>Hall Effect</t>
  </si>
  <si>
    <t>$3.75 (AD22151YRZ)</t>
  </si>
  <si>
    <t>31mm² (8-Lead SOIC) (AD22151YRZ)</t>
  </si>
  <si>
    <t>1.75mm (8-Lead SOIC) (AD22151YRZ)</t>
  </si>
  <si>
    <t>Production</t>
  </si>
  <si>
    <t>Anisotropic Magneto Resistive Giant Magneto Resistive Magneto Resistive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</si>
</sst>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2" fillId="0" borderId="0" xfId="0" applyFont="1"/>
    <xf numFmtId="0" fontId="0" fillId="5" borderId="0" xfId="0" applyFill="1"/>
    <xf numFmtId="0" fontId="0" fillId="6" borderId="0" xfId="0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defaultRowHeight="14.4"/>
  <cols>
    <col min="1" max="1" width="20" customWidth="1"/>
    <col min="2" max="2" width="25" customWidth="1"/>
    <col min="3" max="3" width="20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/>
  </sheetViews>
  <sheetFormatPr defaultRowHeight="14.4"/>
  <cols>
    <col min="1" max="2" width="15" customWidth="1"/>
    <col min="3" max="3" width="31" customWidth="1"/>
    <col min="4" max="4" width="22" customWidth="1"/>
    <col min="5" max="5" width="20" customWidth="1"/>
    <col min="6" max="6" width="17" customWidth="1"/>
    <col min="7" max="8" width="15" customWidth="1"/>
    <col min="9" max="9" width="17" customWidth="1"/>
    <col min="10" max="11" width="15" customWidth="1"/>
  </cols>
  <sheetData>
    <row r="1" spans="1:1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>
      <c r="A2" s="3" t="s">
        <v>19</v>
      </c>
      <c r="B2" s="3" t="s">
        <v>19</v>
      </c>
      <c r="C2" s="3" t="s">
        <v>19</v>
      </c>
      <c r="D2" s="3" t="s">
        <v>19</v>
      </c>
      <c r="E2" s="3" t="s">
        <v>19</v>
      </c>
      <c r="F2" s="3" t="s">
        <v>20</v>
      </c>
      <c r="G2" s="3" t="s">
        <v>19</v>
      </c>
      <c r="H2" s="3" t="s">
        <v>21</v>
      </c>
      <c r="I2" s="3" t="s">
        <v>22</v>
      </c>
      <c r="J2" s="3" t="s">
        <v>19</v>
      </c>
      <c r="K2" s="3" t="s">
        <v>19</v>
      </c>
    </row>
    <row r="3" spans="1:11">
      <c r="A3" s="4" t="str">
        <f>HYPERLINK("https://www.analog.com/en/ADMT4000#details", "ADMT4000")</f>
        <v>ADMT4000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219</v>
      </c>
      <c r="K3" t="s">
        <v>31</v>
      </c>
    </row>
    <row r="4" spans="1:11">
      <c r="A4" s="4" t="str">
        <f>HYPERLINK("https://www.analog.com/en/ADAF1080#details", "ADAF1080")</f>
        <v>ADAF1080</v>
      </c>
      <c r="B4" t="s">
        <v>32</v>
      </c>
      <c r="C4" t="s">
        <v>33</v>
      </c>
      <c r="D4" t="s">
        <v>34</v>
      </c>
      <c r="E4" t="s">
        <v>26</v>
      </c>
      <c r="F4" t="s">
        <v>35</v>
      </c>
      <c r="G4" t="s">
        <v>36</v>
      </c>
      <c r="H4" t="s">
        <v>19</v>
      </c>
      <c r="I4" t="s">
        <v>19</v>
      </c>
      <c r="J4">
        <v>22996</v>
      </c>
      <c r="K4" t="s">
        <v>31</v>
      </c>
    </row>
    <row r="5" spans="1:11">
      <c r="A5" s="4" t="str">
        <f>HYPERLINK("https://www.analog.com/en/ADA4570#details", "ADA4570")</f>
        <v>ADA4570</v>
      </c>
      <c r="B5" t="s">
        <v>37</v>
      </c>
      <c r="C5" t="s">
        <v>33</v>
      </c>
      <c r="D5" t="s">
        <v>34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20644</v>
      </c>
      <c r="K5" t="s">
        <v>31</v>
      </c>
    </row>
    <row r="6" spans="1:11">
      <c r="A6" s="4" t="str">
        <f>HYPERLINK("https://www.analog.com/en/ADA4571-2#details", "ADA4571-2")</f>
        <v>ADA4571-2</v>
      </c>
      <c r="B6" t="s">
        <v>43</v>
      </c>
      <c r="C6" t="s">
        <v>33</v>
      </c>
      <c r="D6" t="s">
        <v>34</v>
      </c>
      <c r="E6" t="s">
        <v>38</v>
      </c>
      <c r="F6" t="s">
        <v>44</v>
      </c>
      <c r="G6" t="s">
        <v>45</v>
      </c>
      <c r="H6" t="s">
        <v>46</v>
      </c>
      <c r="I6" t="s">
        <v>47</v>
      </c>
      <c r="J6">
        <v>471</v>
      </c>
      <c r="K6" t="s">
        <v>31</v>
      </c>
    </row>
    <row r="7" spans="1:11">
      <c r="A7" s="4" t="str">
        <f>HYPERLINK("https://www.analog.com/en/ADA4571#details", "ADA4571")</f>
        <v>ADA4571</v>
      </c>
      <c r="B7" t="s">
        <v>48</v>
      </c>
      <c r="C7" t="s">
        <v>33</v>
      </c>
      <c r="D7" t="s">
        <v>34</v>
      </c>
      <c r="E7" t="s">
        <v>38</v>
      </c>
      <c r="F7" t="s">
        <v>49</v>
      </c>
      <c r="G7" t="s">
        <v>40</v>
      </c>
      <c r="H7" t="s">
        <v>50</v>
      </c>
      <c r="I7" t="s">
        <v>51</v>
      </c>
      <c r="J7">
        <v>9360</v>
      </c>
      <c r="K7" t="s">
        <v>31</v>
      </c>
    </row>
    <row r="8" spans="1:11">
      <c r="A8" s="4" t="str">
        <f>HYPERLINK("https://www.analog.com/en/AD22151G#details", "AD22151G")</f>
        <v>AD22151G</v>
      </c>
      <c r="B8" t="s">
        <v>52</v>
      </c>
      <c r="C8" t="s">
        <v>53</v>
      </c>
      <c r="D8" t="s">
        <v>19</v>
      </c>
      <c r="E8" t="s">
        <v>38</v>
      </c>
      <c r="F8" t="s">
        <v>54</v>
      </c>
      <c r="G8" t="s">
        <v>40</v>
      </c>
      <c r="H8" t="s">
        <v>55</v>
      </c>
      <c r="I8" t="s">
        <v>56</v>
      </c>
      <c r="J8">
        <v>3731</v>
      </c>
      <c r="K8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tabSelected="1" workbookViewId="0"/>
  </sheetViews>
  <sheetFormatPr defaultRowHeight="14.4"/>
  <cols>
    <col min="1" max="2" width="15" customWidth="1"/>
    <col min="3" max="3" width="31" customWidth="1"/>
    <col min="4" max="4" width="22" customWidth="1"/>
    <col min="5" max="5" width="20" customWidth="1"/>
    <col min="6" max="6" width="17" customWidth="1"/>
    <col min="7" max="8" width="15" customWidth="1"/>
    <col min="9" max="9" width="17" customWidth="1"/>
    <col min="10" max="11" width="15" customWidth="1"/>
  </cols>
  <sheetData>
    <row r="1" spans="1:11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</row>
    <row r="2" spans="1:11">
      <c r="A2" s="6" t="s">
        <v>19</v>
      </c>
      <c r="B2" s="6" t="s">
        <v>19</v>
      </c>
      <c r="C2" s="6" t="s">
        <v>19</v>
      </c>
      <c r="D2" s="6" t="s">
        <v>19</v>
      </c>
      <c r="E2" s="6" t="s">
        <v>19</v>
      </c>
      <c r="F2" s="6" t="s">
        <v>20</v>
      </c>
      <c r="G2" s="6" t="s">
        <v>19</v>
      </c>
      <c r="H2" s="6" t="s">
        <v>21</v>
      </c>
      <c r="I2" s="6" t="s">
        <v>22</v>
      </c>
      <c r="J2" s="6" t="s">
        <v>19</v>
      </c>
      <c r="K2" s="6" t="s">
        <v>19</v>
      </c>
    </row>
    <row r="3" spans="1:11">
      <c r="A3" s="7" t="str">
        <f>HYPERLINK("https://www.analog.com/en/ADMT4000#details", "ADMT4000")</f>
        <v>ADMT4000</v>
      </c>
      <c r="B3" t="s">
        <v>23</v>
      </c>
      <c r="C3" t="s">
        <v>58</v>
      </c>
      <c r="D3" t="s">
        <v>25</v>
      </c>
      <c r="E3" t="s">
        <v>26</v>
      </c>
      <c r="F3">
        <v>9.5</v>
      </c>
      <c r="G3" t="s">
        <v>28</v>
      </c>
      <c r="H3">
        <v>50.56</v>
      </c>
      <c r="I3">
        <v>1.2</v>
      </c>
      <c r="J3">
        <v>219</v>
      </c>
      <c r="K3" t="s">
        <v>31</v>
      </c>
    </row>
    <row r="4" spans="1:11">
      <c r="A4" s="7" t="str">
        <f>HYPERLINK("https://www.analog.com/en/ADAF1080#details", "ADAF1080")</f>
        <v>ADAF1080</v>
      </c>
      <c r="B4" t="s">
        <v>32</v>
      </c>
      <c r="C4" t="s">
        <v>33</v>
      </c>
      <c r="D4" t="s">
        <v>34</v>
      </c>
      <c r="E4" t="s">
        <v>26</v>
      </c>
      <c r="F4">
        <v>3.6</v>
      </c>
      <c r="G4" t="s">
        <v>36</v>
      </c>
      <c r="H4" t="s">
        <v>19</v>
      </c>
      <c r="I4" t="s">
        <v>19</v>
      </c>
      <c r="J4">
        <v>22996</v>
      </c>
      <c r="K4" t="s">
        <v>31</v>
      </c>
    </row>
    <row r="5" spans="1:11">
      <c r="A5" s="7" t="str">
        <f>HYPERLINK("https://www.analog.com/en/ADA4570#details", "ADA4570")</f>
        <v>ADA4570</v>
      </c>
      <c r="B5" t="s">
        <v>37</v>
      </c>
      <c r="C5" t="s">
        <v>33</v>
      </c>
      <c r="D5" t="s">
        <v>34</v>
      </c>
      <c r="E5" t="s">
        <v>38</v>
      </c>
      <c r="F5">
        <v>1.28</v>
      </c>
      <c r="G5" t="s">
        <v>40</v>
      </c>
      <c r="H5">
        <v>31</v>
      </c>
      <c r="I5">
        <v>1.75</v>
      </c>
      <c r="J5">
        <v>20644</v>
      </c>
      <c r="K5" t="s">
        <v>31</v>
      </c>
    </row>
    <row r="6" spans="1:11">
      <c r="A6" s="7" t="str">
        <f>HYPERLINK("https://www.analog.com/en/ADA4571-2#details", "ADA4571-2")</f>
        <v>ADA4571-2</v>
      </c>
      <c r="B6" t="s">
        <v>43</v>
      </c>
      <c r="C6" t="s">
        <v>33</v>
      </c>
      <c r="D6" t="s">
        <v>34</v>
      </c>
      <c r="E6" t="s">
        <v>38</v>
      </c>
      <c r="F6">
        <v>3.12</v>
      </c>
      <c r="G6" t="s">
        <v>45</v>
      </c>
      <c r="H6">
        <v>38.61</v>
      </c>
      <c r="I6">
        <v>1.75</v>
      </c>
      <c r="J6">
        <v>471</v>
      </c>
      <c r="K6" t="s">
        <v>31</v>
      </c>
    </row>
    <row r="7" spans="1:11">
      <c r="A7" s="7" t="str">
        <f>HYPERLINK("https://www.analog.com/en/ADA4571#details", "ADA4571")</f>
        <v>ADA4571</v>
      </c>
      <c r="B7" t="s">
        <v>48</v>
      </c>
      <c r="C7" t="s">
        <v>33</v>
      </c>
      <c r="D7" t="s">
        <v>34</v>
      </c>
      <c r="E7" t="s">
        <v>38</v>
      </c>
      <c r="F7">
        <v>1.41</v>
      </c>
      <c r="G7" t="s">
        <v>40</v>
      </c>
      <c r="H7">
        <v>31</v>
      </c>
      <c r="I7">
        <v>1.75</v>
      </c>
      <c r="J7">
        <v>9360</v>
      </c>
      <c r="K7" t="s">
        <v>31</v>
      </c>
    </row>
    <row r="8" spans="1:11">
      <c r="A8" s="7" t="str">
        <f>HYPERLINK("https://www.analog.com/en/AD22151G#details", "AD22151G")</f>
        <v>AD22151G</v>
      </c>
      <c r="B8" t="s">
        <v>52</v>
      </c>
      <c r="C8" t="s">
        <v>53</v>
      </c>
      <c r="D8" t="s">
        <v>19</v>
      </c>
      <c r="E8" t="s">
        <v>38</v>
      </c>
      <c r="F8">
        <v>3.75</v>
      </c>
      <c r="G8" t="s">
        <v>40</v>
      </c>
      <c r="H8">
        <v>31</v>
      </c>
      <c r="I8">
        <v>1.75</v>
      </c>
      <c r="J8">
        <v>3731</v>
      </c>
      <c r="K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Web Display</vt:lpstr>
      <vt:lpstr>Raw Data 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baosheng wang</cp:lastModifiedBy>
  <dcterms:modified xsi:type="dcterms:W3CDTF">2026-01-27T07:09:38Z</dcterms:modified>
</cp:coreProperties>
</file>